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R:\Anatech File Work\SAI AGRO RICE INDUSTIES\"/>
    </mc:Choice>
  </mc:AlternateContent>
  <bookViews>
    <workbookView xWindow="-120" yWindow="-120" windowWidth="29040" windowHeight="15840" activeTab="1"/>
  </bookViews>
  <sheets>
    <sheet name="28-MTD" sheetId="1" r:id="rId1"/>
    <sheet name="29,30 - OTIF" sheetId="2" r:id="rId2"/>
    <sheet name="76-ZSC-OTIF" sheetId="3" r:id="rId3"/>
  </sheets>
  <definedNames>
    <definedName name="_xlnm.Print_Area" localSheetId="1">'29,30 - OTIF'!$A$1:$M$69</definedName>
    <definedName name="_xlnm.Print_Area" localSheetId="2">'76-ZSC-OTIF'!$A$1:$Q$14</definedName>
    <definedName name="_xlnm.Print_Titles" localSheetId="0">'28-MTD'!$1:$4</definedName>
    <definedName name="_xlnm.Print_Titles" localSheetId="1">'29,30 - OTIF'!$43:$46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4" i="2" l="1"/>
  <c r="M55" i="2"/>
  <c r="M57" i="2"/>
  <c r="C58" i="2"/>
  <c r="C59" i="2"/>
  <c r="I49" i="2"/>
  <c r="I50" i="2"/>
  <c r="E48" i="2"/>
  <c r="E49" i="2"/>
  <c r="E50" i="2"/>
  <c r="H47" i="2"/>
  <c r="G47" i="2"/>
  <c r="F47" i="2"/>
  <c r="E47" i="2"/>
  <c r="D47" i="2"/>
  <c r="C47" i="2"/>
  <c r="B47" i="2"/>
  <c r="A47" i="2"/>
  <c r="L9" i="3" l="1"/>
  <c r="M9" i="3" s="1"/>
  <c r="J9" i="3"/>
  <c r="K9" i="3" s="1"/>
  <c r="H9" i="3"/>
  <c r="I9" i="3" s="1"/>
  <c r="F9" i="3"/>
  <c r="G9" i="3" s="1"/>
  <c r="B9" i="3"/>
  <c r="F6" i="3"/>
  <c r="H6" i="3"/>
  <c r="J6" i="3"/>
  <c r="L6" i="3"/>
  <c r="E9" i="3" l="1"/>
  <c r="C53" i="2" l="1"/>
  <c r="M63" i="2" l="1"/>
  <c r="L8" i="3"/>
  <c r="M8" i="3" s="1"/>
  <c r="J8" i="3"/>
  <c r="K8" i="3" s="1"/>
  <c r="H8" i="3"/>
  <c r="I8" i="3" s="1"/>
  <c r="F8" i="3"/>
  <c r="G8" i="3" s="1"/>
  <c r="L7" i="3"/>
  <c r="M7" i="3" s="1"/>
  <c r="J7" i="3"/>
  <c r="K7" i="3" s="1"/>
  <c r="H7" i="3"/>
  <c r="I7" i="3" s="1"/>
  <c r="F7" i="3"/>
  <c r="G7" i="3" s="1"/>
  <c r="M6" i="3"/>
  <c r="K6" i="3"/>
  <c r="I6" i="3"/>
  <c r="G6" i="3"/>
  <c r="B50" i="2"/>
  <c r="F50" i="2"/>
  <c r="M65" i="2"/>
  <c r="M64" i="2"/>
  <c r="M62" i="2"/>
  <c r="M60" i="2"/>
  <c r="M59" i="2"/>
  <c r="M58" i="2"/>
  <c r="M53" i="2"/>
  <c r="M56" i="2" s="1"/>
  <c r="M52" i="2"/>
  <c r="M50" i="2"/>
  <c r="M49" i="2"/>
  <c r="M48" i="2"/>
  <c r="M47" i="2"/>
  <c r="E8" i="3" l="1"/>
  <c r="E7" i="3"/>
  <c r="E6" i="3"/>
  <c r="B57" i="2" l="1"/>
  <c r="K57" i="2" s="1"/>
  <c r="B58" i="2"/>
  <c r="B59" i="2"/>
  <c r="B60" i="2"/>
  <c r="C48" i="2"/>
  <c r="D48" i="2"/>
  <c r="F48" i="2"/>
  <c r="G48" i="2"/>
  <c r="H48" i="2"/>
  <c r="C49" i="2"/>
  <c r="D49" i="2"/>
  <c r="F49" i="2"/>
  <c r="J49" i="2" s="1"/>
  <c r="G49" i="2"/>
  <c r="H49" i="2"/>
  <c r="C50" i="2"/>
  <c r="D50" i="2"/>
  <c r="G50" i="2"/>
  <c r="H50" i="2"/>
  <c r="J47" i="2"/>
  <c r="B48" i="2"/>
  <c r="B49" i="2"/>
  <c r="A48" i="2"/>
  <c r="A49" i="2"/>
  <c r="A50" i="2"/>
  <c r="K47" i="2" l="1"/>
  <c r="L47" i="2" s="1"/>
  <c r="J48" i="2"/>
  <c r="K49" i="2"/>
  <c r="K50" i="2"/>
  <c r="J50" i="2"/>
  <c r="K48" i="2"/>
  <c r="D60" i="2"/>
  <c r="A51" i="2"/>
  <c r="A52" i="2"/>
  <c r="B52" i="2"/>
  <c r="C52" i="2"/>
  <c r="B6" i="3" s="1"/>
  <c r="D52" i="2"/>
  <c r="F52" i="2"/>
  <c r="G52" i="2"/>
  <c r="H52" i="2"/>
  <c r="A53" i="2"/>
  <c r="B53" i="2"/>
  <c r="D53" i="2"/>
  <c r="F53" i="2"/>
  <c r="G53" i="2"/>
  <c r="H53" i="2"/>
  <c r="A54" i="2"/>
  <c r="B54" i="2"/>
  <c r="K54" i="2" s="1"/>
  <c r="C54" i="2"/>
  <c r="D54" i="2"/>
  <c r="F54" i="2"/>
  <c r="G54" i="2"/>
  <c r="H54" i="2"/>
  <c r="A55" i="2"/>
  <c r="A56" i="2" s="1"/>
  <c r="B55" i="2"/>
  <c r="K55" i="2" s="1"/>
  <c r="C55" i="2"/>
  <c r="D55" i="2"/>
  <c r="F55" i="2"/>
  <c r="J55" i="2" s="1"/>
  <c r="L55" i="2" s="1"/>
  <c r="G55" i="2"/>
  <c r="H55" i="2"/>
  <c r="A57" i="2"/>
  <c r="C57" i="2"/>
  <c r="D57" i="2"/>
  <c r="F57" i="2"/>
  <c r="J57" i="2" s="1"/>
  <c r="G57" i="2"/>
  <c r="H57" i="2"/>
  <c r="A58" i="2"/>
  <c r="D58" i="2"/>
  <c r="F58" i="2"/>
  <c r="J58" i="2" s="1"/>
  <c r="G58" i="2"/>
  <c r="H58" i="2"/>
  <c r="K58" i="2" s="1"/>
  <c r="A59" i="2"/>
  <c r="D59" i="2"/>
  <c r="F59" i="2"/>
  <c r="J59" i="2" s="1"/>
  <c r="G59" i="2"/>
  <c r="H59" i="2"/>
  <c r="K59" i="2" s="1"/>
  <c r="A60" i="2"/>
  <c r="A61" i="2" s="1"/>
  <c r="C60" i="2"/>
  <c r="F60" i="2"/>
  <c r="J60" i="2" s="1"/>
  <c r="G60" i="2"/>
  <c r="H60" i="2"/>
  <c r="K60" i="2" s="1"/>
  <c r="A62" i="2"/>
  <c r="B62" i="2"/>
  <c r="C62" i="2"/>
  <c r="D62" i="2"/>
  <c r="F62" i="2"/>
  <c r="G62" i="2"/>
  <c r="H62" i="2"/>
  <c r="A63" i="2"/>
  <c r="B63" i="2"/>
  <c r="C63" i="2"/>
  <c r="D63" i="2"/>
  <c r="F63" i="2"/>
  <c r="G63" i="2"/>
  <c r="H63" i="2"/>
  <c r="J54" i="2" l="1"/>
  <c r="L54" i="2" s="1"/>
  <c r="J52" i="2"/>
  <c r="L50" i="2"/>
  <c r="K62" i="2"/>
  <c r="J62" i="2"/>
  <c r="K53" i="2"/>
  <c r="J53" i="2"/>
  <c r="M51" i="2"/>
  <c r="K63" i="2"/>
  <c r="J63" i="2"/>
  <c r="L58" i="2"/>
  <c r="L48" i="2"/>
  <c r="L60" i="2"/>
  <c r="L59" i="2"/>
  <c r="M61" i="2"/>
  <c r="K52" i="2"/>
  <c r="L49" i="2"/>
  <c r="B8" i="3"/>
  <c r="C1" i="2"/>
  <c r="E4" i="2"/>
  <c r="D4" i="2"/>
  <c r="C4" i="2"/>
  <c r="H65" i="2"/>
  <c r="G65" i="2"/>
  <c r="F65" i="2"/>
  <c r="D65" i="2"/>
  <c r="C65" i="2"/>
  <c r="B65" i="2"/>
  <c r="A65" i="2"/>
  <c r="B4" i="2" s="1"/>
  <c r="H64" i="2"/>
  <c r="G64" i="2"/>
  <c r="F64" i="2"/>
  <c r="D64" i="2"/>
  <c r="C64" i="2"/>
  <c r="B64" i="2"/>
  <c r="A64" i="2"/>
  <c r="B7" i="3"/>
  <c r="L52" i="2" l="1"/>
  <c r="L63" i="2"/>
  <c r="L53" i="2"/>
  <c r="L56" i="2" s="1"/>
  <c r="L62" i="2"/>
  <c r="L61" i="2"/>
  <c r="L51" i="2"/>
  <c r="K64" i="2"/>
  <c r="J65" i="2"/>
  <c r="K65" i="2"/>
  <c r="J64" i="2"/>
  <c r="M66" i="2"/>
  <c r="A66" i="2"/>
  <c r="L64" i="2" l="1"/>
  <c r="L65" i="2"/>
  <c r="L66" i="2" l="1"/>
  <c r="K3" i="2" l="1"/>
  <c r="A1" i="2"/>
  <c r="C2" i="2"/>
  <c r="K11" i="3" l="1"/>
  <c r="I11" i="3"/>
  <c r="G11" i="3"/>
  <c r="M11" i="3"/>
  <c r="F11" i="3"/>
  <c r="J11" i="3"/>
  <c r="L11" i="3"/>
  <c r="H11" i="3"/>
  <c r="E11" i="3" l="1"/>
  <c r="E6" i="2"/>
  <c r="N3" i="3"/>
  <c r="C2" i="3"/>
  <c r="C1" i="3"/>
  <c r="A1" i="3"/>
  <c r="D11" i="3"/>
  <c r="K45" i="2"/>
  <c r="C44" i="2"/>
  <c r="C43" i="2"/>
  <c r="A43" i="2"/>
  <c r="E5" i="2" l="1"/>
  <c r="D6" i="2" l="1"/>
  <c r="B6" i="2"/>
  <c r="C6" i="2"/>
  <c r="C5" i="2" l="1"/>
  <c r="B5" i="2"/>
  <c r="D5" i="2"/>
</calcChain>
</file>

<file path=xl/sharedStrings.xml><?xml version="1.0" encoding="utf-8"?>
<sst xmlns="http://schemas.openxmlformats.org/spreadsheetml/2006/main" count="244" uniqueCount="93">
  <si>
    <t>TIMELY DELIVERY OF CONTRACTS</t>
  </si>
  <si>
    <t>Mechanism for Monitoring Adherence to Delivery Contracts through OTIF</t>
  </si>
  <si>
    <t>1. Definition and Objective:</t>
  </si>
  <si>
    <t>The firm will adopt the OTIF (On Time In Full) measurement as the primary tool to monitor adherence to all delivery contracts with customers. The OTIF metric measures whether products are delivered to customers on the agreed date (On Time) and with complete quantity and specification (In Full). The objective is to ensure that all delivery commitments are fulfilled as per contract, improving customer satisfaction and operational reliability.</t>
  </si>
  <si>
    <t>2. Data Recording:</t>
  </si>
  <si>
    <t>3. Data Analysis:</t>
  </si>
  <si>
    <t>A dedicated OTIF Register will be maintained (manual or digital). For every dispatch, the following data points will be recorded:</t>
  </si>
  <si>
    <t>On a monthly basis, the PPC Department will extract OTIF data and prepare a Trend Analysis Report:</t>
  </si>
  <si>
    <t>- Customer Name and Order Number
- Contractual Delivery Date
- Actual Dispatch Date
- Ordered Quantity
- Delivered Quantity
- Delivery Condition (in full or partial)</t>
  </si>
  <si>
    <t>- % of orders delivered On Time
- % of orders delivered In Full
- % of orders meeting both On Time and In Full</t>
  </si>
  <si>
    <t>All records will be verified by the Dispatch Incharge and cross-checked by the Production Planning &amp; Control (PPC) Department.</t>
  </si>
  <si>
    <t>Root causes for any deviations (late deliveries or partial deliveries) will be identified through an RCA (Root Cause Analysis).</t>
  </si>
  <si>
    <t>4. Corrective and Preventive Actions:</t>
  </si>
  <si>
    <t>5. Control and Review:</t>
  </si>
  <si>
    <t>Where OTIF performance falls below the target (e.g., 95%), immediate CAPA measures will be initiated:
- Adjustments in production planning
- Inventory buffer adjustments
- Vendor coordination improvements
- Enhanced internal coordination among production, stores, and dispatch</t>
  </si>
  <si>
    <t>- Monthly OTIF performance will be reviewed in Management Review Meetings (MRM).
- KPIs for OTIF will be shared with relevant departments.
- Trends will be displayed visually through graphs and dashboards.
- Targets will be set and updated based on performance trends.</t>
  </si>
  <si>
    <t>6. Continual Improvement:</t>
  </si>
  <si>
    <t>Periodic training will be conducted for teams to ensure they understand delivery requirements, communication protocols, and escalation methods for bottlenecks. Process improvements will be mapped through the PDCA (Plan-Do-Check-Act) cycle.</t>
  </si>
  <si>
    <t>COMMENTS/ APPROVALS &amp; SIGNATURE</t>
  </si>
  <si>
    <t>SECTION INCHARGE</t>
  </si>
  <si>
    <t>MANAGEMENT REPRESENTATIVE</t>
  </si>
  <si>
    <t>AUTHORIZED SIGNATORY</t>
  </si>
  <si>
    <t>DOC NO.- 4.2-TD-R-OTS-29</t>
  </si>
  <si>
    <t>VERSION:0, REV 00</t>
  </si>
  <si>
    <t>ORDER TRACKING SHEET [OTIF STATUS]</t>
  </si>
  <si>
    <t>Month</t>
  </si>
  <si>
    <t>OT%</t>
  </si>
  <si>
    <t>IF%</t>
  </si>
  <si>
    <t>Delivery Month</t>
  </si>
  <si>
    <t>Order Date</t>
  </si>
  <si>
    <t>Party Name</t>
  </si>
  <si>
    <t>Product Name</t>
  </si>
  <si>
    <t>Planned Del Date</t>
  </si>
  <si>
    <t>Invoice No.</t>
  </si>
  <si>
    <t>Invoice Date</t>
  </si>
  <si>
    <t>On Time %</t>
  </si>
  <si>
    <t>In Full %</t>
  </si>
  <si>
    <t>DOC NO.- 4.1-TD-MTD-28</t>
  </si>
  <si>
    <t>DOC NO.- 4.2-TD-R-OMR-30</t>
  </si>
  <si>
    <t>DOC. NO.-4.2-TD-DSCC-76</t>
  </si>
  <si>
    <t xml:space="preserve"> OTIF: Delivery Score Card Champion</t>
  </si>
  <si>
    <t>S. NO.</t>
  </si>
  <si>
    <t>Customer Name</t>
  </si>
  <si>
    <t>UOM</t>
  </si>
  <si>
    <t>%</t>
  </si>
  <si>
    <t>Plan</t>
  </si>
  <si>
    <t>Act</t>
  </si>
  <si>
    <t>Average</t>
  </si>
  <si>
    <t>Planned Lead Days</t>
  </si>
  <si>
    <t>Actual Lead Days</t>
  </si>
  <si>
    <t>Order Qty (PCS)</t>
  </si>
  <si>
    <t>Invoice Qty (PCS)</t>
  </si>
  <si>
    <t>MAY</t>
  </si>
  <si>
    <t>Act -2026-27</t>
  </si>
  <si>
    <t>Tgt-2026-27</t>
  </si>
  <si>
    <t>JUN</t>
  </si>
  <si>
    <t>AUG</t>
  </si>
  <si>
    <t>Monthly Summary</t>
  </si>
  <si>
    <t>JULY</t>
  </si>
  <si>
    <t>SEP</t>
  </si>
  <si>
    <t>OCT</t>
  </si>
  <si>
    <t>VERSION 02 ; REV 00</t>
  </si>
  <si>
    <t>VERSION:2, REV 00</t>
  </si>
  <si>
    <t>M/S SAI AGRO RICE INDUSTRIES</t>
  </si>
  <si>
    <t>SHERPURA ROAD , SHERPUR KALAN, JAGROAN , LUDHIANA-142026</t>
  </si>
  <si>
    <t>SARI</t>
  </si>
  <si>
    <t>DOC ISSUE DATE - 03-12-2025</t>
  </si>
  <si>
    <t>Order Qty (QTL)</t>
  </si>
  <si>
    <t>Invoice Qty (QTL)</t>
  </si>
  <si>
    <t>P.S Agro Foods</t>
  </si>
  <si>
    <t>Paddy Husk</t>
  </si>
  <si>
    <t>SAI/026</t>
  </si>
  <si>
    <t>Sunrise Agro Foods</t>
  </si>
  <si>
    <t>Rice Bran</t>
  </si>
  <si>
    <t>SAI/027</t>
  </si>
  <si>
    <t>Mahadev Rice &amp; Gen Mill</t>
  </si>
  <si>
    <t>SAI/028</t>
  </si>
  <si>
    <t>Shri Ganesh Feeds</t>
  </si>
  <si>
    <t>SAI/029</t>
  </si>
  <si>
    <t>SAI/030</t>
  </si>
  <si>
    <t>SAI/031</t>
  </si>
  <si>
    <t>SAI/032</t>
  </si>
  <si>
    <t>SAI/033</t>
  </si>
  <si>
    <t>SAI/034</t>
  </si>
  <si>
    <t>SAI/035</t>
  </si>
  <si>
    <t>SAI/036</t>
  </si>
  <si>
    <t>SAI/037</t>
  </si>
  <si>
    <t>SAI/038</t>
  </si>
  <si>
    <t>SAI/039</t>
  </si>
  <si>
    <t>SAI/040</t>
  </si>
  <si>
    <t>SAI/041</t>
  </si>
  <si>
    <t>Order Qty (MT )</t>
  </si>
  <si>
    <t>Invoice Qty (MT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</si>
</sst>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
    <numFmt numFmtId="166" formatCode="[$-14009]dd/mm/yyyy;@"/>
    <numFmt numFmtId="167" formatCode="[$-14009]dd\-mm\-yy;@"/>
  </numFmts>
  <fonts count="21" x14ac:knownFonts="1">
    <font>
      <sz val="11"/>
      <color theme="1"/>
      <name val="Calibri"/>
      <family val="2"/>
      <scheme val="minor"/>
    </font>
    <font>
      <b/>
      <sz val="11"/>
      <color theme="1"/>
      <name val="Calibri"/>
      <family val="2"/>
      <scheme val="minor"/>
    </font>
    <font>
      <b/>
      <sz val="16"/>
      <name val="Calibri"/>
      <family val="2"/>
      <scheme val="minor"/>
    </font>
    <font>
      <b/>
      <sz val="12"/>
      <color theme="1"/>
      <name val="Calibri"/>
      <family val="2"/>
      <scheme val="minor"/>
    </font>
    <font>
      <sz val="11"/>
      <color theme="1"/>
      <name val="Calibri"/>
      <family val="2"/>
      <scheme val="minor"/>
    </font>
    <font>
      <sz val="12"/>
      <color theme="1"/>
      <name val="Calibri"/>
      <family val="2"/>
      <scheme val="minor"/>
    </font>
    <font>
      <b/>
      <sz val="14"/>
      <color theme="1"/>
      <name val="Calibri"/>
      <family val="2"/>
      <scheme val="minor"/>
    </font>
    <font>
      <b/>
      <sz val="20"/>
      <color theme="1"/>
      <name val="Calibri"/>
      <family val="2"/>
      <scheme val="minor"/>
    </font>
    <font>
      <b/>
      <sz val="22"/>
      <color theme="1"/>
      <name val="Calibri"/>
      <family val="2"/>
      <scheme val="minor"/>
    </font>
    <font>
      <b/>
      <sz val="16"/>
      <color theme="1"/>
      <name val="Calibri"/>
      <family val="2"/>
      <scheme val="minor"/>
    </font>
    <font>
      <b/>
      <sz val="9"/>
      <color theme="1"/>
      <name val="Calibri"/>
      <family val="2"/>
      <scheme val="minor"/>
    </font>
    <font>
      <sz val="10"/>
      <color theme="1"/>
      <name val="Calibri"/>
      <family val="2"/>
      <scheme val="minor"/>
    </font>
    <font>
      <sz val="18"/>
      <color theme="1"/>
      <name val="Calibri"/>
      <family val="2"/>
      <scheme val="minor"/>
    </font>
    <font>
      <b/>
      <sz val="48"/>
      <color theme="1"/>
      <name val="Times New Roman"/>
      <family val="1"/>
    </font>
    <font>
      <b/>
      <sz val="28"/>
      <color theme="1"/>
      <name val="Times New Roman"/>
      <family val="1"/>
    </font>
    <font>
      <b/>
      <sz val="36"/>
      <color theme="1"/>
      <name val="Calibri"/>
      <family val="2"/>
      <scheme val="minor"/>
    </font>
    <font>
      <b/>
      <sz val="10"/>
      <color theme="1"/>
      <name val="Calibri"/>
      <family val="2"/>
      <scheme val="minor"/>
    </font>
    <font>
      <b/>
      <sz val="24"/>
      <color theme="1"/>
      <name val="Calibri"/>
      <family val="2"/>
      <scheme val="minor"/>
    </font>
    <font>
      <b/>
      <sz val="26"/>
      <color rgb="FF000000"/>
      <name val="Times New Roman"/>
      <family val="1"/>
    </font>
    <font>
      <b/>
      <sz val="36"/>
      <color theme="1"/>
      <name val="Times New Roman"/>
      <family val="1"/>
    </font>
    <font>
      <b/>
      <sz val="12"/>
      <color rgb="FF000000"/>
      <name val="Times New Roman"/>
      <family val="1"/>
    </font>
  </fonts>
  <fills count="7">
    <fill>
      <patternFill patternType="none"/>
    </fill>
    <fill>
      <patternFill patternType="gray125"/>
    </fill>
    <fill>
      <patternFill patternType="solid">
        <fgColor rgb="FFFFFFFF"/>
        <bgColor indexed="64"/>
      </patternFill>
    </fill>
    <fill>
      <patternFill patternType="solid">
        <fgColor theme="8" tint="0.39997558519241921"/>
        <bgColor indexed="64"/>
      </patternFill>
    </fill>
    <fill>
      <patternFill patternType="solid">
        <fgColor theme="2"/>
        <bgColor indexed="64"/>
      </patternFill>
    </fill>
    <fill>
      <patternFill patternType="solid">
        <fgColor theme="2" tint="-9.9978637043366805E-2"/>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xf numFmtId="9" fontId="4" fillId="0" borderId="0" applyFont="0" applyFill="0" applyBorder="0" applyAlignment="0" applyProtection="0"/>
  </cellStyleXfs>
  <cellXfs count="122">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4" borderId="1" xfId="0" applyFont="1" applyFill="1" applyBorder="1" applyAlignment="1">
      <alignment horizontal="center"/>
    </xf>
    <xf numFmtId="17" fontId="1" fillId="4" borderId="1" xfId="0" applyNumberFormat="1" applyFont="1" applyFill="1" applyBorder="1" applyAlignment="1">
      <alignment horizontal="center"/>
    </xf>
    <xf numFmtId="0" fontId="0" fillId="4" borderId="1" xfId="0" applyFill="1" applyBorder="1"/>
    <xf numFmtId="17" fontId="3" fillId="4" borderId="1" xfId="0" applyNumberFormat="1" applyFont="1" applyFill="1" applyBorder="1" applyAlignment="1">
      <alignment horizontal="center"/>
    </xf>
    <xf numFmtId="164" fontId="0" fillId="0" borderId="1" xfId="1" applyNumberFormat="1" applyFont="1" applyBorder="1" applyAlignment="1">
      <alignment horizontal="center"/>
    </xf>
    <xf numFmtId="9" fontId="0" fillId="0" borderId="1" xfId="1" applyFont="1" applyBorder="1" applyAlignment="1">
      <alignment horizontal="center"/>
    </xf>
    <xf numFmtId="10" fontId="0" fillId="0" borderId="1" xfId="1" applyNumberFormat="1" applyFont="1" applyBorder="1" applyAlignment="1">
      <alignment horizontal="center"/>
    </xf>
    <xf numFmtId="0" fontId="0" fillId="0" borderId="1" xfId="0" applyBorder="1" applyAlignment="1">
      <alignment horizontal="center" vertical="center"/>
    </xf>
    <xf numFmtId="0" fontId="1" fillId="0" borderId="0" xfId="0" applyFont="1" applyAlignment="1">
      <alignment horizontal="center" vertical="center" wrapText="1"/>
    </xf>
    <xf numFmtId="17" fontId="0" fillId="0" borderId="1" xfId="0" applyNumberFormat="1" applyBorder="1" applyAlignment="1">
      <alignment horizontal="center" vertical="center" wrapText="1"/>
    </xf>
    <xf numFmtId="9" fontId="0" fillId="0" borderId="1" xfId="1" applyFont="1" applyBorder="1" applyAlignment="1">
      <alignment horizontal="center" vertical="center" wrapText="1"/>
    </xf>
    <xf numFmtId="0" fontId="0" fillId="0" borderId="0" xfId="0" applyAlignment="1">
      <alignment vertical="center"/>
    </xf>
    <xf numFmtId="0" fontId="7" fillId="0" borderId="1" xfId="0" applyFont="1" applyBorder="1" applyAlignment="1">
      <alignment vertical="center"/>
    </xf>
    <xf numFmtId="0" fontId="0" fillId="0" borderId="0" xfId="0" applyAlignment="1">
      <alignment horizontal="center" vertical="center"/>
    </xf>
    <xf numFmtId="17" fontId="8" fillId="0" borderId="1" xfId="0" applyNumberFormat="1" applyFont="1" applyBorder="1"/>
    <xf numFmtId="0" fontId="0" fillId="0" borderId="1" xfId="0" applyBorder="1" applyAlignment="1">
      <alignment horizont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top"/>
    </xf>
    <xf numFmtId="0" fontId="1" fillId="5" borderId="9" xfId="0" applyFont="1" applyFill="1" applyBorder="1" applyAlignment="1">
      <alignment horizontal="center" vertical="top"/>
    </xf>
    <xf numFmtId="0" fontId="0" fillId="0" borderId="8" xfId="0" applyBorder="1" applyAlignment="1">
      <alignment horizontal="center" vertical="center"/>
    </xf>
    <xf numFmtId="0" fontId="1" fillId="0" borderId="1" xfId="0" applyFont="1" applyBorder="1" applyAlignment="1">
      <alignment horizontal="center" vertical="center"/>
    </xf>
    <xf numFmtId="0" fontId="0" fillId="0" borderId="9" xfId="0" applyBorder="1" applyAlignment="1">
      <alignment horizontal="center" vertical="center"/>
    </xf>
    <xf numFmtId="2" fontId="0" fillId="5" borderId="1" xfId="0" applyNumberFormat="1" applyFill="1" applyBorder="1" applyAlignment="1">
      <alignment horizontal="center" vertical="center"/>
    </xf>
    <xf numFmtId="0" fontId="0" fillId="0" borderId="0" xfId="0" applyAlignment="1">
      <alignment horizontal="center"/>
    </xf>
    <xf numFmtId="0" fontId="1" fillId="0" borderId="1" xfId="0" applyFont="1" applyBorder="1" applyAlignment="1">
      <alignment horizontal="center" vertical="center" wrapText="1"/>
    </xf>
    <xf numFmtId="0" fontId="0" fillId="0" borderId="4" xfId="0" applyBorder="1" applyAlignment="1">
      <alignment horizontal="center" vertical="center" wrapText="1"/>
    </xf>
    <xf numFmtId="164" fontId="1" fillId="0" borderId="1" xfId="1" applyNumberFormat="1" applyFont="1" applyBorder="1" applyAlignment="1">
      <alignment horizontal="center" vertical="center"/>
    </xf>
    <xf numFmtId="165" fontId="0" fillId="5" borderId="1" xfId="0" applyNumberForma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wrapText="1"/>
    </xf>
    <xf numFmtId="0" fontId="0" fillId="6" borderId="1" xfId="0" applyFill="1" applyBorder="1" applyAlignment="1">
      <alignment horizontal="center" vertical="center" wrapText="1"/>
    </xf>
    <xf numFmtId="0" fontId="0" fillId="0" borderId="0" xfId="0" applyAlignment="1">
      <alignment horizontal="right" vertical="center" wrapText="1"/>
    </xf>
    <xf numFmtId="14" fontId="0" fillId="0" borderId="0" xfId="0" applyNumberFormat="1" applyAlignment="1">
      <alignment vertical="center" wrapText="1"/>
    </xf>
    <xf numFmtId="17" fontId="0" fillId="0" borderId="1" xfId="0" applyNumberFormat="1" applyBorder="1" applyAlignment="1">
      <alignment horizontal="left" vertical="center" wrapText="1"/>
    </xf>
    <xf numFmtId="17" fontId="1" fillId="0" borderId="0" xfId="0" applyNumberFormat="1" applyFont="1" applyAlignment="1">
      <alignment vertical="center" wrapText="1"/>
    </xf>
    <xf numFmtId="166" fontId="8" fillId="0" borderId="1" xfId="0" applyNumberFormat="1" applyFont="1" applyBorder="1"/>
    <xf numFmtId="166" fontId="0" fillId="0" borderId="1" xfId="0" applyNumberFormat="1" applyBorder="1" applyAlignment="1">
      <alignment horizontal="center"/>
    </xf>
    <xf numFmtId="9" fontId="1" fillId="0" borderId="0" xfId="0" applyNumberFormat="1" applyFont="1" applyAlignment="1">
      <alignment horizontal="right" vertical="center" wrapText="1"/>
    </xf>
    <xf numFmtId="10" fontId="1" fillId="0" borderId="0" xfId="0" applyNumberFormat="1" applyFont="1" applyAlignment="1">
      <alignment horizontal="right" vertical="center" wrapText="1"/>
    </xf>
    <xf numFmtId="17"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0" fillId="0" borderId="4" xfId="0" applyFill="1" applyBorder="1" applyAlignment="1">
      <alignment horizontal="center" vertical="center" wrapText="1"/>
    </xf>
    <xf numFmtId="9" fontId="0" fillId="0" borderId="1" xfId="1" applyFont="1" applyFill="1" applyBorder="1" applyAlignment="1">
      <alignment horizontal="center" vertical="center" wrapText="1"/>
    </xf>
    <xf numFmtId="166" fontId="7" fillId="0" borderId="1" xfId="0" applyNumberFormat="1" applyFont="1" applyFill="1" applyBorder="1" applyAlignment="1">
      <alignment vertical="center"/>
    </xf>
    <xf numFmtId="0" fontId="7" fillId="0" borderId="1" xfId="0" applyFont="1" applyFill="1" applyBorder="1" applyAlignment="1">
      <alignment vertical="center"/>
    </xf>
    <xf numFmtId="164" fontId="1" fillId="0" borderId="1" xfId="1" applyNumberFormat="1" applyFont="1" applyBorder="1" applyAlignment="1">
      <alignment horizontal="center" vertical="center" wrapText="1"/>
    </xf>
    <xf numFmtId="164" fontId="1" fillId="0" borderId="1" xfId="1" applyNumberFormat="1" applyFont="1" applyFill="1" applyBorder="1" applyAlignment="1">
      <alignment horizontal="center" vertical="center" wrapText="1"/>
    </xf>
    <xf numFmtId="167" fontId="0" fillId="0" borderId="1" xfId="0" applyNumberFormat="1" applyBorder="1" applyAlignment="1">
      <alignment horizontal="center" vertical="center" wrapText="1"/>
    </xf>
    <xf numFmtId="17" fontId="0" fillId="0" borderId="0" xfId="0" applyNumberFormat="1" applyAlignment="1">
      <alignment vertical="center" wrapText="1"/>
    </xf>
    <xf numFmtId="9" fontId="0" fillId="0" borderId="0" xfId="0" applyNumberFormat="1" applyAlignment="1">
      <alignment vertical="center" wrapText="1"/>
    </xf>
    <xf numFmtId="3" fontId="0" fillId="0" borderId="1" xfId="0" applyNumberFormat="1" applyFill="1" applyBorder="1" applyAlignment="1">
      <alignment horizontal="center" vertical="center" wrapText="1"/>
    </xf>
    <xf numFmtId="3" fontId="0" fillId="6" borderId="1" xfId="0" applyNumberFormat="1" applyFill="1"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horizontal="left" vertical="center" wrapText="1"/>
    </xf>
    <xf numFmtId="0" fontId="1" fillId="0" borderId="1" xfId="0" applyFont="1"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0" fillId="0" borderId="1" xfId="0" quotePrefix="1" applyBorder="1" applyAlignment="1">
      <alignment horizontal="left" vertical="center" wrapText="1"/>
    </xf>
    <xf numFmtId="0" fontId="1" fillId="0" borderId="1" xfId="0" applyFont="1" applyBorder="1" applyAlignment="1">
      <alignment horizontal="left" vertical="center" wrapText="1"/>
    </xf>
    <xf numFmtId="0" fontId="1"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5" fontId="0" fillId="0" borderId="1" xfId="0" applyNumberFormat="1" applyBorder="1" applyAlignment="1">
      <alignment horizontal="left" vertical="center" wrapText="1"/>
    </xf>
    <xf numFmtId="0" fontId="19" fillId="0" borderId="1" xfId="0" applyFont="1" applyBorder="1" applyAlignment="1">
      <alignment horizontal="center" vertical="center"/>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6" fillId="0" borderId="1" xfId="0" applyFont="1" applyBorder="1" applyAlignment="1">
      <alignment horizontal="center"/>
    </xf>
    <xf numFmtId="14" fontId="5" fillId="0" borderId="2" xfId="0" applyNumberFormat="1" applyFont="1" applyBorder="1" applyAlignment="1">
      <alignment horizontal="center"/>
    </xf>
    <xf numFmtId="14" fontId="5" fillId="0" borderId="3" xfId="0" applyNumberFormat="1" applyFont="1" applyBorder="1" applyAlignment="1">
      <alignment horizontal="center"/>
    </xf>
    <xf numFmtId="14" fontId="5" fillId="0" borderId="4" xfId="0" applyNumberFormat="1" applyFont="1" applyBorder="1" applyAlignment="1">
      <alignment horizontal="center"/>
    </xf>
    <xf numFmtId="0" fontId="13" fillId="0" borderId="1" xfId="0" applyFont="1" applyBorder="1" applyAlignment="1">
      <alignment horizontal="center" vertical="center"/>
    </xf>
    <xf numFmtId="0" fontId="15" fillId="0" borderId="1" xfId="0" applyFont="1" applyBorder="1" applyAlignment="1">
      <alignment horizontal="center"/>
    </xf>
    <xf numFmtId="0" fontId="5" fillId="0" borderId="1" xfId="0" applyFont="1" applyBorder="1" applyAlignment="1">
      <alignment horizontal="center"/>
    </xf>
    <xf numFmtId="0" fontId="9" fillId="0" borderId="1" xfId="0" applyFont="1" applyBorder="1" applyAlignment="1">
      <alignment horizontal="center" vertical="center" wrapText="1"/>
    </xf>
    <xf numFmtId="0" fontId="5" fillId="0" borderId="1" xfId="0" applyFont="1" applyBorder="1" applyAlignment="1">
      <alignment horizontal="center" vertical="center"/>
    </xf>
    <xf numFmtId="17" fontId="8" fillId="0" borderId="1" xfId="0" applyNumberFormat="1" applyFont="1" applyBorder="1" applyAlignment="1">
      <alignment horizontal="center"/>
    </xf>
    <xf numFmtId="0" fontId="1" fillId="4" borderId="1" xfId="0" applyFont="1" applyFill="1" applyBorder="1" applyAlignment="1">
      <alignment horizontal="center"/>
    </xf>
    <xf numFmtId="0" fontId="0" fillId="0" borderId="1" xfId="0" applyBorder="1" applyAlignment="1">
      <alignment horizontal="center" vertical="center"/>
    </xf>
    <xf numFmtId="14" fontId="5" fillId="0" borderId="1" xfId="0" applyNumberFormat="1" applyFont="1" applyBorder="1" applyAlignment="1">
      <alignment horizontal="center" vertical="center"/>
    </xf>
    <xf numFmtId="17" fontId="8" fillId="0" borderId="2" xfId="0" applyNumberFormat="1" applyFont="1" applyBorder="1" applyAlignment="1">
      <alignment horizontal="center"/>
    </xf>
    <xf numFmtId="17" fontId="8" fillId="0" borderId="3" xfId="0" applyNumberFormat="1" applyFont="1" applyBorder="1" applyAlignment="1">
      <alignment horizontal="center"/>
    </xf>
    <xf numFmtId="17" fontId="8" fillId="0" borderId="4" xfId="0" applyNumberFormat="1" applyFont="1" applyBorder="1" applyAlignment="1">
      <alignment horizontal="center"/>
    </xf>
    <xf numFmtId="17" fontId="7" fillId="0" borderId="2" xfId="0" applyNumberFormat="1" applyFont="1" applyFill="1" applyBorder="1" applyAlignment="1">
      <alignment horizontal="center" vertical="center"/>
    </xf>
    <xf numFmtId="17" fontId="7" fillId="0" borderId="3" xfId="0" applyNumberFormat="1" applyFont="1" applyFill="1" applyBorder="1" applyAlignment="1">
      <alignment horizontal="center" vertical="center"/>
    </xf>
    <xf numFmtId="17" fontId="7" fillId="0" borderId="4" xfId="0" applyNumberFormat="1" applyFont="1" applyFill="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9" xfId="0" applyFont="1" applyFill="1" applyBorder="1" applyAlignment="1">
      <alignment horizontal="center" vertical="center"/>
    </xf>
    <xf numFmtId="0" fontId="0" fillId="0" borderId="8" xfId="0" applyBorder="1" applyAlignment="1">
      <alignment horizontal="center" vertical="center"/>
    </xf>
    <xf numFmtId="0" fontId="1" fillId="5" borderId="8" xfId="0" applyFont="1" applyFill="1" applyBorder="1" applyAlignment="1">
      <alignment horizontal="center" vertical="center"/>
    </xf>
    <xf numFmtId="0" fontId="1" fillId="5" borderId="1" xfId="0" applyFont="1" applyFill="1" applyBorder="1" applyAlignment="1">
      <alignment horizontal="center" vertical="center" wrapText="1"/>
    </xf>
    <xf numFmtId="0" fontId="12" fillId="0" borderId="8" xfId="0" applyFont="1" applyBorder="1" applyAlignment="1">
      <alignment horizontal="center" vertical="center"/>
    </xf>
    <xf numFmtId="0" fontId="12" fillId="0" borderId="1" xfId="0" applyFont="1" applyBorder="1" applyAlignment="1">
      <alignment horizontal="center" vertical="center"/>
    </xf>
    <xf numFmtId="15"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1" fillId="0" borderId="9" xfId="0" applyFont="1" applyBorder="1" applyAlignment="1">
      <alignment horizontal="center" vertical="center" wrapText="1"/>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8" xfId="0" applyFont="1" applyBorder="1" applyAlignment="1">
      <alignment horizontal="center" vertical="center"/>
    </xf>
    <xf numFmtId="0" fontId="14" fillId="0" borderId="1" xfId="0" applyFont="1" applyBorder="1" applyAlignment="1">
      <alignment horizontal="center" vertical="center"/>
    </xf>
    <xf numFmtId="0" fontId="17" fillId="0" borderId="6" xfId="0" applyFont="1" applyBorder="1" applyAlignment="1">
      <alignment horizont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6" fillId="0" borderId="1" xfId="0" applyFont="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OTIF TREND CHART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'29,30 - OTIF'!$A$5</c:f>
              <c:strCache>
                <c:ptCount val="1"/>
                <c:pt idx="0">
                  <c:v>OT%</c:v>
                </c:pt>
              </c:strCache>
            </c:strRef>
          </c:tx>
          <c:spPr>
            <a:solidFill>
              <a:schemeClr val="accent1"/>
            </a:solidFill>
            <a:ln>
              <a:noFill/>
            </a:ln>
            <a:effectLst/>
          </c:spPr>
          <c:invertIfNegative val="0"/>
          <c:cat>
            <c:numRef>
              <c:f>'29,30 - OTIF'!$B$4:$E$4</c:f>
              <c:numCache>
                <c:formatCode>mmm\-yy</c:formatCode>
                <c:ptCount val="4"/>
                <c:pt idx="0">
                  <c:v>46143</c:v>
                </c:pt>
                <c:pt idx="1">
                  <c:v>46174</c:v>
                </c:pt>
                <c:pt idx="2">
                  <c:v>46204</c:v>
                </c:pt>
                <c:pt idx="3">
                  <c:v>46235</c:v>
                </c:pt>
              </c:numCache>
            </c:numRef>
          </c:cat>
          <c:val>
            <c:numRef>
              <c:f>'29,30 - OTIF'!$B$5:$F$5</c:f>
              <c:numCache>
                <c:formatCode>0.0%</c:formatCode>
                <c:ptCount val="5"/>
                <c:pt idx="0">
                  <c:v>0.91666666666666674</c:v>
                </c:pt>
                <c:pt idx="1">
                  <c:v>0.92833333333333334</c:v>
                </c:pt>
                <c:pt idx="2">
                  <c:v>0.95</c:v>
                </c:pt>
                <c:pt idx="3">
                  <c:v>0.95833333333333337</c:v>
                </c:pt>
              </c:numCache>
            </c:numRef>
          </c:val>
          <c:extLst>
            <c:ext xmlns:c16="http://schemas.microsoft.com/office/drawing/2014/chart" uri="{C3380CC4-5D6E-409C-BE32-E72D297353CC}">
              <c16:uniqueId val="{00000000-2A6E-42A9-B346-86F889EFEA43}"/>
            </c:ext>
          </c:extLst>
        </c:ser>
        <c:ser>
          <c:idx val="1"/>
          <c:order val="1"/>
          <c:tx>
            <c:strRef>
              <c:f>'29,30 - OTIF'!$A$6</c:f>
              <c:strCache>
                <c:ptCount val="1"/>
                <c:pt idx="0">
                  <c:v>IF%</c:v>
                </c:pt>
              </c:strCache>
            </c:strRef>
          </c:tx>
          <c:spPr>
            <a:solidFill>
              <a:schemeClr val="accent2"/>
            </a:solidFill>
            <a:ln>
              <a:noFill/>
            </a:ln>
            <a:effectLst/>
          </c:spPr>
          <c:invertIfNegative val="0"/>
          <c:cat>
            <c:numRef>
              <c:f>'29,30 - OTIF'!$B$4:$E$4</c:f>
              <c:numCache>
                <c:formatCode>mmm\-yy</c:formatCode>
                <c:ptCount val="4"/>
                <c:pt idx="0">
                  <c:v>46143</c:v>
                </c:pt>
                <c:pt idx="1">
                  <c:v>46174</c:v>
                </c:pt>
                <c:pt idx="2">
                  <c:v>46204</c:v>
                </c:pt>
                <c:pt idx="3">
                  <c:v>46235</c:v>
                </c:pt>
              </c:numCache>
            </c:numRef>
          </c:cat>
          <c:val>
            <c:numRef>
              <c:f>'29,30 - OTIF'!$B$6:$F$6</c:f>
              <c:numCache>
                <c:formatCode>0.0%</c:formatCode>
                <c:ptCount val="5"/>
                <c:pt idx="0">
                  <c:v>0.90113237639553423</c:v>
                </c:pt>
                <c:pt idx="1">
                  <c:v>0.9375</c:v>
                </c:pt>
                <c:pt idx="2">
                  <c:v>0.95625000000000004</c:v>
                </c:pt>
                <c:pt idx="3">
                  <c:v>0.97445841563488622</c:v>
                </c:pt>
              </c:numCache>
            </c:numRef>
          </c:val>
          <c:extLst>
            <c:ext xmlns:c16="http://schemas.microsoft.com/office/drawing/2014/chart" uri="{C3380CC4-5D6E-409C-BE32-E72D297353CC}">
              <c16:uniqueId val="{00000001-2A6E-42A9-B346-86F889EFEA43}"/>
            </c:ext>
          </c:extLst>
        </c:ser>
        <c:dLbls>
          <c:showLegendKey val="0"/>
          <c:showVal val="0"/>
          <c:showCatName val="0"/>
          <c:showSerName val="0"/>
          <c:showPercent val="0"/>
          <c:showBubbleSize val="0"/>
        </c:dLbls>
        <c:gapWidth val="219"/>
        <c:overlap val="-27"/>
        <c:axId val="129713856"/>
        <c:axId val="129714944"/>
      </c:barChart>
      <c:dateAx>
        <c:axId val="12971385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4944"/>
        <c:crosses val="autoZero"/>
        <c:auto val="1"/>
        <c:lblOffset val="100"/>
        <c:baseTimeUnit val="months"/>
      </c:dateAx>
      <c:valAx>
        <c:axId val="129714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385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391886</xdr:colOff>
      <xdr:row>6</xdr:row>
      <xdr:rowOff>141514</xdr:rowOff>
    </xdr:from>
    <xdr:to>
      <xdr:col>12</xdr:col>
      <xdr:colOff>174171</xdr:colOff>
      <xdr:row>40</xdr:row>
      <xdr:rowOff>195943</xdr:rowOff>
    </xdr:to>
    <xdr:graphicFrame macro="">
      <xdr:nvGraphicFramePr>
        <xdr:cNvPr id="2" name="Chart 1">
          <a:extLst>
            <a:ext uri="{FF2B5EF4-FFF2-40B4-BE49-F238E27FC236}">
              <a16:creationId xmlns:a16="http://schemas.microsoft.com/office/drawing/2014/main" id="{5B614F37-448D-4CE5-BD70-A2EF2D9E3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7"/>
  <sheetViews>
    <sheetView workbookViewId="0">
      <selection activeCell="A4" sqref="A4:H4"/>
    </sheetView>
  </sheetViews>
  <sheetFormatPr defaultColWidth="9.33203125" defaultRowHeight="14.4" x14ac:dyDescent="0.3"/>
  <cols>
    <col min="1" max="1" width="7.5546875" style="1" customWidth="1"/>
    <col min="2" max="2" width="27.5546875" style="1" customWidth="1"/>
    <col min="3" max="3" width="24" style="1" customWidth="1"/>
    <col min="4" max="4" width="31.44140625" style="1" customWidth="1"/>
    <col min="5" max="6" width="19.44140625" style="1" customWidth="1"/>
    <col min="7" max="7" width="22.33203125" style="1" customWidth="1"/>
    <col min="8" max="8" width="14" style="1" customWidth="1"/>
    <col min="9" max="16384" width="9.33203125" style="1"/>
  </cols>
  <sheetData>
    <row r="1" spans="1:8" ht="31.5" customHeight="1" x14ac:dyDescent="0.3">
      <c r="A1" s="68" t="s">
        <v>65</v>
      </c>
      <c r="B1" s="68"/>
      <c r="C1" s="69" t="s">
        <v>63</v>
      </c>
      <c r="D1" s="70"/>
      <c r="E1" s="70"/>
      <c r="F1" s="71"/>
      <c r="G1" s="58" t="s">
        <v>37</v>
      </c>
      <c r="H1" s="60"/>
    </row>
    <row r="2" spans="1:8" ht="38.25" customHeight="1" x14ac:dyDescent="0.3">
      <c r="A2" s="68"/>
      <c r="B2" s="68"/>
      <c r="C2" s="72" t="s">
        <v>64</v>
      </c>
      <c r="D2" s="73"/>
      <c r="E2" s="73"/>
      <c r="F2" s="74"/>
      <c r="G2" s="61" t="s">
        <v>61</v>
      </c>
      <c r="H2" s="61"/>
    </row>
    <row r="3" spans="1:8" ht="21" customHeight="1" x14ac:dyDescent="0.3">
      <c r="A3" s="66" t="s">
        <v>0</v>
      </c>
      <c r="B3" s="66"/>
      <c r="C3" s="66"/>
      <c r="D3" s="66"/>
      <c r="E3" s="66"/>
      <c r="F3" s="66"/>
      <c r="G3" s="67" t="s">
        <v>66</v>
      </c>
      <c r="H3" s="61"/>
    </row>
    <row r="4" spans="1:8" ht="15.6" x14ac:dyDescent="0.3">
      <c r="A4" s="65" t="s">
        <v>1</v>
      </c>
      <c r="B4" s="65"/>
      <c r="C4" s="65"/>
      <c r="D4" s="65"/>
      <c r="E4" s="65"/>
      <c r="F4" s="65"/>
      <c r="G4" s="65"/>
      <c r="H4" s="65"/>
    </row>
    <row r="5" spans="1:8" s="2" customFormat="1" x14ac:dyDescent="0.3">
      <c r="A5" s="64" t="s">
        <v>2</v>
      </c>
      <c r="B5" s="64"/>
      <c r="C5" s="64"/>
      <c r="D5" s="64"/>
      <c r="E5" s="64"/>
      <c r="F5" s="64"/>
      <c r="G5" s="64"/>
      <c r="H5" s="64"/>
    </row>
    <row r="6" spans="1:8" ht="45.75" customHeight="1" x14ac:dyDescent="0.3">
      <c r="A6" s="58" t="s">
        <v>3</v>
      </c>
      <c r="B6" s="59"/>
      <c r="C6" s="59"/>
      <c r="D6" s="59"/>
      <c r="E6" s="59"/>
      <c r="F6" s="59"/>
      <c r="G6" s="59"/>
      <c r="H6" s="60"/>
    </row>
    <row r="7" spans="1:8" x14ac:dyDescent="0.3">
      <c r="A7" s="64" t="s">
        <v>4</v>
      </c>
      <c r="B7" s="64"/>
      <c r="C7" s="64"/>
      <c r="D7" s="64"/>
      <c r="E7" s="64" t="s">
        <v>5</v>
      </c>
      <c r="F7" s="64"/>
      <c r="G7" s="64"/>
      <c r="H7" s="64"/>
    </row>
    <row r="8" spans="1:8" ht="31.5" customHeight="1" x14ac:dyDescent="0.3">
      <c r="A8" s="61" t="s">
        <v>6</v>
      </c>
      <c r="B8" s="61"/>
      <c r="C8" s="61"/>
      <c r="D8" s="61"/>
      <c r="E8" s="61" t="s">
        <v>7</v>
      </c>
      <c r="F8" s="61"/>
      <c r="G8" s="61"/>
      <c r="H8" s="61"/>
    </row>
    <row r="9" spans="1:8" ht="95.25" customHeight="1" x14ac:dyDescent="0.3">
      <c r="A9" s="62" t="s">
        <v>8</v>
      </c>
      <c r="B9" s="61"/>
      <c r="C9" s="61"/>
      <c r="D9" s="61"/>
      <c r="E9" s="62" t="s">
        <v>9</v>
      </c>
      <c r="F9" s="63"/>
      <c r="G9" s="63"/>
      <c r="H9" s="63"/>
    </row>
    <row r="10" spans="1:8" ht="31.5" customHeight="1" x14ac:dyDescent="0.3">
      <c r="A10" s="61" t="s">
        <v>10</v>
      </c>
      <c r="B10" s="61"/>
      <c r="C10" s="61"/>
      <c r="D10" s="61"/>
      <c r="E10" s="61" t="s">
        <v>11</v>
      </c>
      <c r="F10" s="61"/>
      <c r="G10" s="61"/>
      <c r="H10" s="61"/>
    </row>
    <row r="11" spans="1:8" ht="15" customHeight="1" x14ac:dyDescent="0.3">
      <c r="A11" s="64" t="s">
        <v>12</v>
      </c>
      <c r="B11" s="64"/>
      <c r="C11" s="64"/>
      <c r="D11" s="64"/>
      <c r="E11" s="64" t="s">
        <v>13</v>
      </c>
      <c r="F11" s="64"/>
      <c r="G11" s="64"/>
      <c r="H11" s="64"/>
    </row>
    <row r="12" spans="1:8" ht="92.25" customHeight="1" x14ac:dyDescent="0.3">
      <c r="A12" s="61" t="s">
        <v>14</v>
      </c>
      <c r="B12" s="61"/>
      <c r="C12" s="61"/>
      <c r="D12" s="61"/>
      <c r="E12" s="62" t="s">
        <v>15</v>
      </c>
      <c r="F12" s="61"/>
      <c r="G12" s="61"/>
      <c r="H12" s="61"/>
    </row>
    <row r="13" spans="1:8" x14ac:dyDescent="0.3">
      <c r="A13" s="64" t="s">
        <v>16</v>
      </c>
      <c r="B13" s="64"/>
      <c r="C13" s="64"/>
      <c r="D13" s="64"/>
      <c r="E13" s="64"/>
      <c r="F13" s="64"/>
      <c r="G13" s="64"/>
      <c r="H13" s="64"/>
    </row>
    <row r="14" spans="1:8" ht="30" customHeight="1" x14ac:dyDescent="0.3">
      <c r="A14" s="58" t="s">
        <v>17</v>
      </c>
      <c r="B14" s="59"/>
      <c r="C14" s="59"/>
      <c r="D14" s="59"/>
      <c r="E14" s="59"/>
      <c r="F14" s="59"/>
      <c r="G14" s="59"/>
      <c r="H14" s="60"/>
    </row>
    <row r="15" spans="1:8" x14ac:dyDescent="0.3">
      <c r="A15" s="57" t="s">
        <v>18</v>
      </c>
      <c r="B15" s="57"/>
      <c r="C15" s="57"/>
      <c r="D15" s="57"/>
      <c r="E15" s="57"/>
      <c r="F15" s="57"/>
      <c r="G15" s="57"/>
      <c r="H15" s="57"/>
    </row>
    <row r="16" spans="1:8" ht="32.25" customHeight="1" x14ac:dyDescent="0.3">
      <c r="A16" s="57"/>
      <c r="B16" s="57"/>
      <c r="C16" s="57"/>
      <c r="D16" s="57"/>
      <c r="E16" s="57"/>
      <c r="F16" s="57"/>
      <c r="G16" s="57"/>
      <c r="H16" s="57"/>
    </row>
    <row r="17" spans="1:8" x14ac:dyDescent="0.3">
      <c r="A17" s="57" t="s">
        <v>19</v>
      </c>
      <c r="B17" s="57"/>
      <c r="C17" s="57"/>
      <c r="D17" s="57" t="s">
        <v>20</v>
      </c>
      <c r="E17" s="57"/>
      <c r="F17" s="57"/>
      <c r="G17" s="57" t="s">
        <v>21</v>
      </c>
      <c r="H17" s="57"/>
    </row>
  </sheetData>
  <mergeCells count="30">
    <mergeCell ref="A3:F3"/>
    <mergeCell ref="G3:H3"/>
    <mergeCell ref="A1:B2"/>
    <mergeCell ref="C1:F1"/>
    <mergeCell ref="G1:H1"/>
    <mergeCell ref="C2:F2"/>
    <mergeCell ref="G2:H2"/>
    <mergeCell ref="A4:H4"/>
    <mergeCell ref="A5:D5"/>
    <mergeCell ref="E5:H5"/>
    <mergeCell ref="A6:H6"/>
    <mergeCell ref="A7:D7"/>
    <mergeCell ref="E7:H7"/>
    <mergeCell ref="A14:H14"/>
    <mergeCell ref="A8:D8"/>
    <mergeCell ref="E8:H8"/>
    <mergeCell ref="A9:D9"/>
    <mergeCell ref="E9:H9"/>
    <mergeCell ref="A10:D10"/>
    <mergeCell ref="E10:H10"/>
    <mergeCell ref="A11:D11"/>
    <mergeCell ref="E11:H11"/>
    <mergeCell ref="A12:D12"/>
    <mergeCell ref="E12:H12"/>
    <mergeCell ref="A13:H13"/>
    <mergeCell ref="A15:H15"/>
    <mergeCell ref="A16:H16"/>
    <mergeCell ref="A17:C17"/>
    <mergeCell ref="D17:F17"/>
    <mergeCell ref="G17:H17"/>
  </mergeCells>
  <printOptions horizontalCentered="1"/>
  <pageMargins left="0.39370078740157483" right="0.35433070866141736" top="0.15748031496062992" bottom="0.15748031496062992" header="0.31496062992125984" footer="0.11811023622047245"/>
  <pageSetup paperSize="9" scale="84" fitToHeight="0" orientation="landscape" r:id="rId1"/>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9"/>
  <sheetViews>
    <sheetView tabSelected="1" zoomScale="56" zoomScaleNormal="55" zoomScaleSheetLayoutView="61" workbookViewId="0">
      <selection activeCell="U21" sqref="U21"/>
    </sheetView>
  </sheetViews>
  <sheetFormatPr defaultColWidth="9.33203125" defaultRowHeight="14.4" x14ac:dyDescent="0.3"/>
  <cols>
    <col min="1" max="1" width="10.33203125" bestFit="1" customWidth="1"/>
    <col min="2" max="2" width="13.33203125" customWidth="1"/>
    <col min="3" max="3" width="20.33203125" customWidth="1"/>
    <col min="4" max="4" width="24.33203125" customWidth="1"/>
    <col min="5" max="5" width="13.77734375" customWidth="1"/>
    <col min="6" max="6" width="16.44140625" bestFit="1" customWidth="1"/>
    <col min="7" max="7" width="12.44140625" customWidth="1"/>
    <col min="8" max="8" width="15.33203125" customWidth="1"/>
    <col min="9" max="9" width="13.33203125" customWidth="1"/>
    <col min="10" max="11" width="12.33203125" customWidth="1"/>
    <col min="12" max="12" width="15.33203125" customWidth="1"/>
    <col min="13" max="13" width="12.33203125" customWidth="1"/>
    <col min="16" max="16" width="19.6640625" customWidth="1"/>
    <col min="20" max="20" width="12.88671875" customWidth="1"/>
    <col min="22" max="22" width="12.6640625" bestFit="1" customWidth="1"/>
  </cols>
  <sheetData>
    <row r="1" spans="1:13" ht="39" customHeight="1" x14ac:dyDescent="0.85">
      <c r="A1" s="79" t="str">
        <f>+'28-MTD'!A1:B2</f>
        <v>SARI</v>
      </c>
      <c r="B1" s="79"/>
      <c r="C1" s="80" t="str">
        <f>+'28-MTD'!C1:F1</f>
        <v>M/S SAI AGRO RICE INDUSTRIES</v>
      </c>
      <c r="D1" s="80"/>
      <c r="E1" s="80"/>
      <c r="F1" s="80"/>
      <c r="G1" s="80"/>
      <c r="H1" s="80"/>
      <c r="I1" s="80"/>
      <c r="J1" s="80"/>
      <c r="K1" s="81" t="s">
        <v>38</v>
      </c>
      <c r="L1" s="81"/>
      <c r="M1" s="81"/>
    </row>
    <row r="2" spans="1:13" ht="47.25" customHeight="1" x14ac:dyDescent="0.3">
      <c r="A2" s="79"/>
      <c r="B2" s="79"/>
      <c r="C2" s="82" t="str">
        <f>+'28-MTD'!C2:F2</f>
        <v>SHERPURA ROAD , SHERPUR KALAN, JAGROAN , LUDHIANA-142026</v>
      </c>
      <c r="D2" s="82"/>
      <c r="E2" s="82"/>
      <c r="F2" s="82"/>
      <c r="G2" s="82"/>
      <c r="H2" s="82"/>
      <c r="I2" s="82"/>
      <c r="J2" s="82"/>
      <c r="K2" s="83" t="s">
        <v>62</v>
      </c>
      <c r="L2" s="83"/>
      <c r="M2" s="83"/>
    </row>
    <row r="3" spans="1:13" ht="18" x14ac:dyDescent="0.35">
      <c r="A3" s="75" t="s">
        <v>24</v>
      </c>
      <c r="B3" s="75"/>
      <c r="C3" s="75"/>
      <c r="D3" s="75"/>
      <c r="E3" s="75"/>
      <c r="F3" s="75"/>
      <c r="G3" s="75"/>
      <c r="H3" s="75"/>
      <c r="I3" s="75"/>
      <c r="J3" s="75"/>
      <c r="K3" s="76" t="str">
        <f>+'28-MTD'!G3</f>
        <v>DOC ISSUE DATE - 03-12-2025</v>
      </c>
      <c r="L3" s="77"/>
      <c r="M3" s="78"/>
    </row>
    <row r="4" spans="1:13" ht="15.6" x14ac:dyDescent="0.3">
      <c r="A4" s="3" t="s">
        <v>25</v>
      </c>
      <c r="B4" s="4">
        <f>A65</f>
        <v>46143</v>
      </c>
      <c r="C4" s="4">
        <f>A60</f>
        <v>46174</v>
      </c>
      <c r="D4" s="4">
        <f>A55</f>
        <v>46204</v>
      </c>
      <c r="E4" s="4">
        <f>A50</f>
        <v>46235</v>
      </c>
      <c r="F4" s="5"/>
      <c r="G4" s="5"/>
      <c r="H4" s="4"/>
      <c r="I4" s="4"/>
      <c r="J4" s="4"/>
      <c r="K4" s="6"/>
      <c r="L4" s="6"/>
      <c r="M4" s="6"/>
    </row>
    <row r="5" spans="1:13" x14ac:dyDescent="0.3">
      <c r="A5" s="3" t="s">
        <v>26</v>
      </c>
      <c r="B5" s="7">
        <f>L66</f>
        <v>0.91666666666666674</v>
      </c>
      <c r="C5" s="7">
        <f>L61</f>
        <v>0.92833333333333334</v>
      </c>
      <c r="D5" s="7">
        <f>L56</f>
        <v>0.95</v>
      </c>
      <c r="E5" s="7">
        <f>L51</f>
        <v>0.95833333333333337</v>
      </c>
      <c r="F5" s="8"/>
      <c r="G5" s="8"/>
      <c r="H5" s="8"/>
      <c r="I5" s="8"/>
      <c r="J5" s="8"/>
      <c r="K5" s="8"/>
      <c r="L5" s="8"/>
      <c r="M5" s="8"/>
    </row>
    <row r="6" spans="1:13" x14ac:dyDescent="0.3">
      <c r="A6" s="3" t="s">
        <v>27</v>
      </c>
      <c r="B6" s="7">
        <f>M66</f>
        <v>0.90113237639553423</v>
      </c>
      <c r="C6" s="7">
        <f>M61</f>
        <v>0.9375</v>
      </c>
      <c r="D6" s="7">
        <f>M56</f>
        <v>0.95625000000000004</v>
      </c>
      <c r="E6" s="7">
        <f>M51</f>
        <v>0.97445841563488622</v>
      </c>
      <c r="F6" s="9"/>
      <c r="G6" s="9"/>
      <c r="H6" s="9"/>
      <c r="I6" s="9"/>
      <c r="J6" s="9"/>
      <c r="K6" s="9"/>
      <c r="L6" s="9"/>
      <c r="M6" s="9"/>
    </row>
    <row r="7" spans="1:13" x14ac:dyDescent="0.3">
      <c r="A7" s="85"/>
      <c r="B7" s="85"/>
      <c r="C7" s="85"/>
      <c r="D7" s="85"/>
      <c r="E7" s="85"/>
      <c r="F7" s="85"/>
      <c r="G7" s="85"/>
      <c r="H7" s="85"/>
      <c r="I7" s="85"/>
      <c r="J7" s="85"/>
      <c r="K7" s="85"/>
      <c r="L7" s="85"/>
      <c r="M7" s="85"/>
    </row>
    <row r="8" spans="1:13" x14ac:dyDescent="0.3">
      <c r="A8" s="85"/>
      <c r="B8" s="85"/>
      <c r="C8" s="85"/>
      <c r="D8" s="85"/>
      <c r="E8" s="85"/>
      <c r="F8" s="85"/>
      <c r="G8" s="85"/>
      <c r="H8" s="85"/>
      <c r="I8" s="85"/>
      <c r="J8" s="85"/>
      <c r="K8" s="85"/>
      <c r="L8" s="85"/>
      <c r="M8" s="85"/>
    </row>
    <row r="9" spans="1:13" x14ac:dyDescent="0.3">
      <c r="A9" s="85"/>
      <c r="B9" s="85"/>
      <c r="C9" s="85"/>
      <c r="D9" s="85"/>
      <c r="E9" s="85"/>
      <c r="F9" s="85"/>
      <c r="G9" s="85"/>
      <c r="H9" s="85"/>
      <c r="I9" s="85"/>
      <c r="J9" s="85"/>
      <c r="K9" s="85"/>
      <c r="L9" s="85"/>
      <c r="M9" s="85"/>
    </row>
    <row r="10" spans="1:13" x14ac:dyDescent="0.3">
      <c r="A10" s="85"/>
      <c r="B10" s="85"/>
      <c r="C10" s="85"/>
      <c r="D10" s="85"/>
      <c r="E10" s="85"/>
      <c r="F10" s="85"/>
      <c r="G10" s="85"/>
      <c r="H10" s="85"/>
      <c r="I10" s="85"/>
      <c r="J10" s="85"/>
      <c r="K10" s="85"/>
      <c r="L10" s="85"/>
      <c r="M10" s="85"/>
    </row>
    <row r="11" spans="1:13" x14ac:dyDescent="0.3">
      <c r="A11" s="85"/>
      <c r="B11" s="85"/>
      <c r="C11" s="85"/>
      <c r="D11" s="85"/>
      <c r="E11" s="85"/>
      <c r="F11" s="85"/>
      <c r="G11" s="85"/>
      <c r="H11" s="85"/>
      <c r="I11" s="85"/>
      <c r="J11" s="85"/>
      <c r="K11" s="85"/>
      <c r="L11" s="85"/>
      <c r="M11" s="85"/>
    </row>
    <row r="12" spans="1:13" x14ac:dyDescent="0.3">
      <c r="A12" s="85"/>
      <c r="B12" s="85"/>
      <c r="C12" s="85"/>
      <c r="D12" s="85"/>
      <c r="E12" s="85"/>
      <c r="F12" s="85"/>
      <c r="G12" s="85"/>
      <c r="H12" s="85"/>
      <c r="I12" s="85"/>
      <c r="J12" s="85"/>
      <c r="K12" s="85"/>
      <c r="L12" s="85"/>
      <c r="M12" s="85"/>
    </row>
    <row r="13" spans="1:13" x14ac:dyDescent="0.3">
      <c r="A13" s="85"/>
      <c r="B13" s="85"/>
      <c r="C13" s="85"/>
      <c r="D13" s="85"/>
      <c r="E13" s="85"/>
      <c r="F13" s="85"/>
      <c r="G13" s="85"/>
      <c r="H13" s="85"/>
      <c r="I13" s="85"/>
      <c r="J13" s="85"/>
      <c r="K13" s="85"/>
      <c r="L13" s="85"/>
      <c r="M13" s="85"/>
    </row>
    <row r="14" spans="1:13" x14ac:dyDescent="0.3">
      <c r="A14" s="85"/>
      <c r="B14" s="85"/>
      <c r="C14" s="85"/>
      <c r="D14" s="85"/>
      <c r="E14" s="85"/>
      <c r="F14" s="85"/>
      <c r="G14" s="85"/>
      <c r="H14" s="85"/>
      <c r="I14" s="85"/>
      <c r="J14" s="85"/>
      <c r="K14" s="85"/>
      <c r="L14" s="85"/>
      <c r="M14" s="85"/>
    </row>
    <row r="15" spans="1:13" x14ac:dyDescent="0.3">
      <c r="A15" s="85"/>
      <c r="B15" s="85"/>
      <c r="C15" s="85"/>
      <c r="D15" s="85"/>
      <c r="E15" s="85"/>
      <c r="F15" s="85"/>
      <c r="G15" s="85"/>
      <c r="H15" s="85"/>
      <c r="I15" s="85"/>
      <c r="J15" s="85"/>
      <c r="K15" s="85"/>
      <c r="L15" s="85"/>
      <c r="M15" s="85"/>
    </row>
    <row r="16" spans="1:13" x14ac:dyDescent="0.3">
      <c r="A16" s="85"/>
      <c r="B16" s="85"/>
      <c r="C16" s="85"/>
      <c r="D16" s="85"/>
      <c r="E16" s="85"/>
      <c r="F16" s="85"/>
      <c r="G16" s="85"/>
      <c r="H16" s="85"/>
      <c r="I16" s="85"/>
      <c r="J16" s="85"/>
      <c r="K16" s="85"/>
      <c r="L16" s="85"/>
      <c r="M16" s="85"/>
    </row>
    <row r="17" spans="1:13" x14ac:dyDescent="0.3">
      <c r="A17" s="85"/>
      <c r="B17" s="85"/>
      <c r="C17" s="85"/>
      <c r="D17" s="85"/>
      <c r="E17" s="85"/>
      <c r="F17" s="85"/>
      <c r="G17" s="85"/>
      <c r="H17" s="85"/>
      <c r="I17" s="85"/>
      <c r="J17" s="85"/>
      <c r="K17" s="85"/>
      <c r="L17" s="85"/>
      <c r="M17" s="85"/>
    </row>
    <row r="18" spans="1:13" x14ac:dyDescent="0.3">
      <c r="A18" s="85"/>
      <c r="B18" s="85"/>
      <c r="C18" s="85"/>
      <c r="D18" s="85"/>
      <c r="E18" s="85"/>
      <c r="F18" s="85"/>
      <c r="G18" s="85"/>
      <c r="H18" s="85"/>
      <c r="I18" s="85"/>
      <c r="J18" s="85"/>
      <c r="K18" s="85"/>
      <c r="L18" s="85"/>
      <c r="M18" s="85"/>
    </row>
    <row r="19" spans="1:13" x14ac:dyDescent="0.3">
      <c r="A19" s="85"/>
      <c r="B19" s="85"/>
      <c r="C19" s="85"/>
      <c r="D19" s="85"/>
      <c r="E19" s="85"/>
      <c r="F19" s="85"/>
      <c r="G19" s="85"/>
      <c r="H19" s="85"/>
      <c r="I19" s="85"/>
      <c r="J19" s="85"/>
      <c r="K19" s="85"/>
      <c r="L19" s="85"/>
      <c r="M19" s="85"/>
    </row>
    <row r="20" spans="1:13" x14ac:dyDescent="0.3">
      <c r="A20" s="85"/>
      <c r="B20" s="85"/>
      <c r="C20" s="85"/>
      <c r="D20" s="85"/>
      <c r="E20" s="85"/>
      <c r="F20" s="85"/>
      <c r="G20" s="85"/>
      <c r="H20" s="85"/>
      <c r="I20" s="85"/>
      <c r="J20" s="85"/>
      <c r="K20" s="85"/>
      <c r="L20" s="85"/>
      <c r="M20" s="85"/>
    </row>
    <row r="21" spans="1:13" x14ac:dyDescent="0.3">
      <c r="A21" s="85"/>
      <c r="B21" s="85"/>
      <c r="C21" s="85"/>
      <c r="D21" s="85"/>
      <c r="E21" s="85"/>
      <c r="F21" s="85"/>
      <c r="G21" s="85"/>
      <c r="H21" s="85"/>
      <c r="I21" s="85"/>
      <c r="J21" s="85"/>
      <c r="K21" s="85"/>
      <c r="L21" s="85"/>
      <c r="M21" s="85"/>
    </row>
    <row r="22" spans="1:13" x14ac:dyDescent="0.3">
      <c r="A22" s="85"/>
      <c r="B22" s="85"/>
      <c r="C22" s="85"/>
      <c r="D22" s="85"/>
      <c r="E22" s="85"/>
      <c r="F22" s="85"/>
      <c r="G22" s="85"/>
      <c r="H22" s="85"/>
      <c r="I22" s="85"/>
      <c r="J22" s="85"/>
      <c r="K22" s="85"/>
      <c r="L22" s="85"/>
      <c r="M22" s="85"/>
    </row>
    <row r="23" spans="1:13" x14ac:dyDescent="0.3">
      <c r="A23" s="85"/>
      <c r="B23" s="85"/>
      <c r="C23" s="85"/>
      <c r="D23" s="85"/>
      <c r="E23" s="85"/>
      <c r="F23" s="85"/>
      <c r="G23" s="85"/>
      <c r="H23" s="85"/>
      <c r="I23" s="85"/>
      <c r="J23" s="85"/>
      <c r="K23" s="85"/>
      <c r="L23" s="85"/>
      <c r="M23" s="85"/>
    </row>
    <row r="24" spans="1:13" x14ac:dyDescent="0.3">
      <c r="A24" s="85"/>
      <c r="B24" s="85"/>
      <c r="C24" s="85"/>
      <c r="D24" s="85"/>
      <c r="E24" s="85"/>
      <c r="F24" s="85"/>
      <c r="G24" s="85"/>
      <c r="H24" s="85"/>
      <c r="I24" s="85"/>
      <c r="J24" s="85"/>
      <c r="K24" s="85"/>
      <c r="L24" s="85"/>
      <c r="M24" s="85"/>
    </row>
    <row r="25" spans="1:13" x14ac:dyDescent="0.3">
      <c r="A25" s="85"/>
      <c r="B25" s="85"/>
      <c r="C25" s="85"/>
      <c r="D25" s="85"/>
      <c r="E25" s="85"/>
      <c r="F25" s="85"/>
      <c r="G25" s="85"/>
      <c r="H25" s="85"/>
      <c r="I25" s="85"/>
      <c r="J25" s="85"/>
      <c r="K25" s="85"/>
      <c r="L25" s="85"/>
      <c r="M25" s="85"/>
    </row>
    <row r="26" spans="1:13" x14ac:dyDescent="0.3">
      <c r="A26" s="85"/>
      <c r="B26" s="85"/>
      <c r="C26" s="85"/>
      <c r="D26" s="85"/>
      <c r="E26" s="85"/>
      <c r="F26" s="85"/>
      <c r="G26" s="85"/>
      <c r="H26" s="85"/>
      <c r="I26" s="85"/>
      <c r="J26" s="85"/>
      <c r="K26" s="85"/>
      <c r="L26" s="85"/>
      <c r="M26" s="85"/>
    </row>
    <row r="27" spans="1:13" x14ac:dyDescent="0.3">
      <c r="A27" s="85"/>
      <c r="B27" s="85"/>
      <c r="C27" s="85"/>
      <c r="D27" s="85"/>
      <c r="E27" s="85"/>
      <c r="F27" s="85"/>
      <c r="G27" s="85"/>
      <c r="H27" s="85"/>
      <c r="I27" s="85"/>
      <c r="J27" s="85"/>
      <c r="K27" s="85"/>
      <c r="L27" s="85"/>
      <c r="M27" s="85"/>
    </row>
    <row r="28" spans="1:13" x14ac:dyDescent="0.3">
      <c r="A28" s="85"/>
      <c r="B28" s="85"/>
      <c r="C28" s="85"/>
      <c r="D28" s="85"/>
      <c r="E28" s="85"/>
      <c r="F28" s="85"/>
      <c r="G28" s="85"/>
      <c r="H28" s="85"/>
      <c r="I28" s="85"/>
      <c r="J28" s="85"/>
      <c r="K28" s="85"/>
      <c r="L28" s="85"/>
      <c r="M28" s="85"/>
    </row>
    <row r="29" spans="1:13" x14ac:dyDescent="0.3">
      <c r="A29" s="85"/>
      <c r="B29" s="85"/>
      <c r="C29" s="85"/>
      <c r="D29" s="85"/>
      <c r="E29" s="85"/>
      <c r="F29" s="85"/>
      <c r="G29" s="85"/>
      <c r="H29" s="85"/>
      <c r="I29" s="85"/>
      <c r="J29" s="85"/>
      <c r="K29" s="85"/>
      <c r="L29" s="85"/>
      <c r="M29" s="85"/>
    </row>
    <row r="30" spans="1:13" x14ac:dyDescent="0.3">
      <c r="A30" s="85"/>
      <c r="B30" s="85"/>
      <c r="C30" s="85"/>
      <c r="D30" s="85"/>
      <c r="E30" s="85"/>
      <c r="F30" s="85"/>
      <c r="G30" s="85"/>
      <c r="H30" s="85"/>
      <c r="I30" s="85"/>
      <c r="J30" s="85"/>
      <c r="K30" s="85"/>
      <c r="L30" s="85"/>
      <c r="M30" s="85"/>
    </row>
    <row r="31" spans="1:13" x14ac:dyDescent="0.3">
      <c r="A31" s="85"/>
      <c r="B31" s="85"/>
      <c r="C31" s="85"/>
      <c r="D31" s="85"/>
      <c r="E31" s="85"/>
      <c r="F31" s="85"/>
      <c r="G31" s="85"/>
      <c r="H31" s="85"/>
      <c r="I31" s="85"/>
      <c r="J31" s="85"/>
      <c r="K31" s="85"/>
      <c r="L31" s="85"/>
      <c r="M31" s="85"/>
    </row>
    <row r="32" spans="1:13" x14ac:dyDescent="0.3">
      <c r="A32" s="85"/>
      <c r="B32" s="85"/>
      <c r="C32" s="85"/>
      <c r="D32" s="85"/>
      <c r="E32" s="85"/>
      <c r="F32" s="85"/>
      <c r="G32" s="85"/>
      <c r="H32" s="85"/>
      <c r="I32" s="85"/>
      <c r="J32" s="85"/>
      <c r="K32" s="85"/>
      <c r="L32" s="85"/>
      <c r="M32" s="85"/>
    </row>
    <row r="33" spans="1:41" x14ac:dyDescent="0.3">
      <c r="A33" s="85"/>
      <c r="B33" s="85"/>
      <c r="C33" s="85"/>
      <c r="D33" s="85"/>
      <c r="E33" s="85"/>
      <c r="F33" s="85"/>
      <c r="G33" s="85"/>
      <c r="H33" s="85"/>
      <c r="I33" s="85"/>
      <c r="J33" s="85"/>
      <c r="K33" s="85"/>
      <c r="L33" s="85"/>
      <c r="M33" s="85"/>
    </row>
    <row r="34" spans="1:41" x14ac:dyDescent="0.3">
      <c r="A34" s="85"/>
      <c r="B34" s="85"/>
      <c r="C34" s="85"/>
      <c r="D34" s="85"/>
      <c r="E34" s="85"/>
      <c r="F34" s="85"/>
      <c r="G34" s="85"/>
      <c r="H34" s="85"/>
      <c r="I34" s="85"/>
      <c r="J34" s="85"/>
      <c r="K34" s="85"/>
      <c r="L34" s="85"/>
      <c r="M34" s="85"/>
    </row>
    <row r="35" spans="1:41" x14ac:dyDescent="0.3">
      <c r="A35" s="85"/>
      <c r="B35" s="85"/>
      <c r="C35" s="85"/>
      <c r="D35" s="85"/>
      <c r="E35" s="85"/>
      <c r="F35" s="85"/>
      <c r="G35" s="85"/>
      <c r="H35" s="85"/>
      <c r="I35" s="85"/>
      <c r="J35" s="85"/>
      <c r="K35" s="85"/>
      <c r="L35" s="85"/>
      <c r="M35" s="85"/>
    </row>
    <row r="36" spans="1:41" x14ac:dyDescent="0.3">
      <c r="A36" s="85"/>
      <c r="B36" s="85"/>
      <c r="C36" s="85"/>
      <c r="D36" s="85"/>
      <c r="E36" s="85"/>
      <c r="F36" s="85"/>
      <c r="G36" s="85"/>
      <c r="H36" s="85"/>
      <c r="I36" s="85"/>
      <c r="J36" s="85"/>
      <c r="K36" s="85"/>
      <c r="L36" s="85"/>
      <c r="M36" s="85"/>
    </row>
    <row r="37" spans="1:41" x14ac:dyDescent="0.3">
      <c r="A37" s="85"/>
      <c r="B37" s="85"/>
      <c r="C37" s="85"/>
      <c r="D37" s="85"/>
      <c r="E37" s="85"/>
      <c r="F37" s="85"/>
      <c r="G37" s="85"/>
      <c r="H37" s="85"/>
      <c r="I37" s="85"/>
      <c r="J37" s="85"/>
      <c r="K37" s="85"/>
      <c r="L37" s="85"/>
      <c r="M37" s="85"/>
    </row>
    <row r="38" spans="1:41" x14ac:dyDescent="0.3">
      <c r="A38" s="85"/>
      <c r="B38" s="85"/>
      <c r="C38" s="85"/>
      <c r="D38" s="85"/>
      <c r="E38" s="85"/>
      <c r="F38" s="85"/>
      <c r="G38" s="85"/>
      <c r="H38" s="85"/>
      <c r="I38" s="85"/>
      <c r="J38" s="85"/>
      <c r="K38" s="85"/>
      <c r="L38" s="85"/>
      <c r="M38" s="85"/>
    </row>
    <row r="39" spans="1:41" x14ac:dyDescent="0.3">
      <c r="A39" s="85"/>
      <c r="B39" s="85"/>
      <c r="C39" s="85"/>
      <c r="D39" s="85"/>
      <c r="E39" s="85"/>
      <c r="F39" s="85"/>
      <c r="G39" s="85"/>
      <c r="H39" s="85"/>
      <c r="I39" s="85"/>
      <c r="J39" s="85"/>
      <c r="K39" s="85"/>
      <c r="L39" s="85"/>
      <c r="M39" s="85"/>
    </row>
    <row r="40" spans="1:41" x14ac:dyDescent="0.3">
      <c r="A40" s="85"/>
      <c r="B40" s="85"/>
      <c r="C40" s="85"/>
      <c r="D40" s="85"/>
      <c r="E40" s="85"/>
      <c r="F40" s="85"/>
      <c r="G40" s="85"/>
      <c r="H40" s="85"/>
      <c r="I40" s="85"/>
      <c r="J40" s="85"/>
      <c r="K40" s="85"/>
      <c r="L40" s="85"/>
      <c r="M40" s="85"/>
    </row>
    <row r="41" spans="1:41" ht="22.5" customHeight="1" x14ac:dyDescent="0.3">
      <c r="A41" s="85"/>
      <c r="B41" s="85"/>
      <c r="C41" s="85"/>
      <c r="D41" s="85"/>
      <c r="E41" s="85"/>
      <c r="F41" s="85"/>
      <c r="G41" s="85"/>
      <c r="H41" s="85"/>
      <c r="I41" s="85"/>
      <c r="J41" s="85"/>
      <c r="K41" s="85"/>
      <c r="L41" s="85"/>
      <c r="M41" s="85"/>
    </row>
    <row r="42" spans="1:41" ht="5.25" customHeight="1" x14ac:dyDescent="0.3">
      <c r="A42" s="85"/>
      <c r="B42" s="85"/>
      <c r="C42" s="85"/>
      <c r="D42" s="85"/>
      <c r="E42" s="85"/>
      <c r="F42" s="85"/>
      <c r="G42" s="85"/>
      <c r="H42" s="85"/>
      <c r="I42" s="85"/>
      <c r="J42" s="85"/>
      <c r="K42" s="85"/>
      <c r="L42" s="85"/>
      <c r="M42" s="85"/>
    </row>
    <row r="43" spans="1:41" ht="46.2" x14ac:dyDescent="0.85">
      <c r="A43" s="79" t="str">
        <f>A1</f>
        <v>SARI</v>
      </c>
      <c r="B43" s="79"/>
      <c r="C43" s="80" t="str">
        <f>C1</f>
        <v>M/S SAI AGRO RICE INDUSTRIES</v>
      </c>
      <c r="D43" s="80"/>
      <c r="E43" s="80"/>
      <c r="F43" s="80"/>
      <c r="G43" s="80"/>
      <c r="H43" s="80"/>
      <c r="I43" s="80"/>
      <c r="J43" s="80"/>
      <c r="K43" s="86" t="s">
        <v>22</v>
      </c>
      <c r="L43" s="86"/>
      <c r="M43" s="86"/>
    </row>
    <row r="44" spans="1:41" ht="46.5" customHeight="1" x14ac:dyDescent="0.3">
      <c r="A44" s="79"/>
      <c r="B44" s="79"/>
      <c r="C44" s="82" t="str">
        <f>C2</f>
        <v>SHERPURA ROAD , SHERPUR KALAN, JAGROAN , LUDHIANA-142026</v>
      </c>
      <c r="D44" s="82"/>
      <c r="E44" s="82"/>
      <c r="F44" s="82"/>
      <c r="G44" s="82"/>
      <c r="H44" s="82"/>
      <c r="I44" s="82"/>
      <c r="J44" s="82"/>
      <c r="K44" s="86" t="s">
        <v>23</v>
      </c>
      <c r="L44" s="86"/>
      <c r="M44" s="86"/>
    </row>
    <row r="45" spans="1:41" ht="18" x14ac:dyDescent="0.35">
      <c r="A45" s="75" t="s">
        <v>24</v>
      </c>
      <c r="B45" s="75"/>
      <c r="C45" s="75"/>
      <c r="D45" s="75"/>
      <c r="E45" s="75"/>
      <c r="F45" s="75"/>
      <c r="G45" s="75"/>
      <c r="H45" s="75"/>
      <c r="I45" s="75"/>
      <c r="J45" s="75"/>
      <c r="K45" s="87" t="str">
        <f>K3</f>
        <v>DOC ISSUE DATE - 03-12-2025</v>
      </c>
      <c r="L45" s="87"/>
      <c r="M45" s="87"/>
    </row>
    <row r="46" spans="1:41" s="11" customFormat="1" ht="42" customHeight="1" x14ac:dyDescent="0.3">
      <c r="A46" s="27" t="s">
        <v>28</v>
      </c>
      <c r="B46" s="27" t="s">
        <v>29</v>
      </c>
      <c r="C46" s="27" t="s">
        <v>30</v>
      </c>
      <c r="D46" s="27" t="s">
        <v>31</v>
      </c>
      <c r="E46" s="27" t="s">
        <v>91</v>
      </c>
      <c r="F46" s="27" t="s">
        <v>32</v>
      </c>
      <c r="G46" s="27" t="s">
        <v>33</v>
      </c>
      <c r="H46" s="27" t="s">
        <v>34</v>
      </c>
      <c r="I46" s="27" t="s">
        <v>92</v>
      </c>
      <c r="J46" s="27" t="s">
        <v>48</v>
      </c>
      <c r="K46" s="27" t="s">
        <v>49</v>
      </c>
      <c r="L46" s="27" t="s">
        <v>35</v>
      </c>
      <c r="M46" s="27" t="s">
        <v>36</v>
      </c>
      <c r="O46" s="11" t="s">
        <v>28</v>
      </c>
      <c r="P46" s="11" t="s">
        <v>29</v>
      </c>
      <c r="Q46" s="11" t="s">
        <v>30</v>
      </c>
      <c r="R46" s="11" t="s">
        <v>31</v>
      </c>
      <c r="S46" s="11" t="s">
        <v>67</v>
      </c>
      <c r="T46" s="11" t="s">
        <v>32</v>
      </c>
      <c r="U46" s="11" t="s">
        <v>33</v>
      </c>
      <c r="V46" s="11" t="s">
        <v>34</v>
      </c>
      <c r="W46" s="11" t="s">
        <v>68</v>
      </c>
      <c r="X46" s="11" t="s">
        <v>48</v>
      </c>
      <c r="Y46" s="11" t="s">
        <v>49</v>
      </c>
      <c r="Z46" s="11" t="s">
        <v>35</v>
      </c>
      <c r="AA46" s="11" t="s">
        <v>36</v>
      </c>
      <c r="AC46" s="11" t="s">
        <v>28</v>
      </c>
      <c r="AD46" s="11" t="s">
        <v>29</v>
      </c>
      <c r="AE46" s="11" t="s">
        <v>30</v>
      </c>
      <c r="AF46" s="11" t="s">
        <v>31</v>
      </c>
      <c r="AG46" s="11" t="s">
        <v>67</v>
      </c>
      <c r="AH46" s="11" t="s">
        <v>32</v>
      </c>
      <c r="AI46" s="11" t="s">
        <v>33</v>
      </c>
      <c r="AJ46" s="11" t="s">
        <v>34</v>
      </c>
      <c r="AK46" s="11" t="s">
        <v>68</v>
      </c>
      <c r="AL46" s="11" t="s">
        <v>48</v>
      </c>
      <c r="AM46" s="11" t="s">
        <v>49</v>
      </c>
      <c r="AN46" s="11" t="s">
        <v>35</v>
      </c>
      <c r="AO46" s="11" t="s">
        <v>36</v>
      </c>
    </row>
    <row r="47" spans="1:41" s="14" customFormat="1" ht="49.8" customHeight="1" x14ac:dyDescent="0.3">
      <c r="A47" s="42">
        <f>O47</f>
        <v>46235</v>
      </c>
      <c r="B47" s="50">
        <f>P47</f>
        <v>46239</v>
      </c>
      <c r="C47" s="43" t="str">
        <f>Q47</f>
        <v>P.S Agro Foods</v>
      </c>
      <c r="D47" s="43" t="str">
        <f>R47</f>
        <v>Paddy Husk</v>
      </c>
      <c r="E47" s="53">
        <f>S47</f>
        <v>203.5</v>
      </c>
      <c r="F47" s="50">
        <f>T47</f>
        <v>46244</v>
      </c>
      <c r="G47" s="43" t="str">
        <f>U47</f>
        <v>SAI/038</v>
      </c>
      <c r="H47" s="50">
        <f>V47</f>
        <v>46244</v>
      </c>
      <c r="I47" s="53">
        <v>200</v>
      </c>
      <c r="J47" s="44">
        <f>F47-B47</f>
        <v>5</v>
      </c>
      <c r="K47" s="43">
        <f>H47-B47</f>
        <v>5</v>
      </c>
      <c r="L47" s="45">
        <f>J47/K47</f>
        <v>1</v>
      </c>
      <c r="M47" s="13">
        <f>I47/E47</f>
        <v>0.98280098280098283</v>
      </c>
      <c r="O47" s="51">
        <v>46235</v>
      </c>
      <c r="P47" s="35">
        <v>46239</v>
      </c>
      <c r="Q47" s="1" t="s">
        <v>69</v>
      </c>
      <c r="R47" s="1" t="s">
        <v>70</v>
      </c>
      <c r="S47" s="1">
        <v>203.5</v>
      </c>
      <c r="T47" s="35">
        <v>46244</v>
      </c>
      <c r="U47" s="1" t="s">
        <v>87</v>
      </c>
      <c r="V47" s="35">
        <v>46244</v>
      </c>
      <c r="W47" s="1">
        <v>203.5</v>
      </c>
      <c r="X47" s="1">
        <v>5</v>
      </c>
      <c r="Y47" s="1">
        <v>5</v>
      </c>
      <c r="Z47" s="52">
        <v>1</v>
      </c>
      <c r="AA47" s="52">
        <v>1</v>
      </c>
      <c r="AC47" s="51">
        <v>46143</v>
      </c>
      <c r="AD47" s="35">
        <v>46147</v>
      </c>
      <c r="AE47" s="1" t="s">
        <v>69</v>
      </c>
      <c r="AF47" s="1" t="s">
        <v>70</v>
      </c>
      <c r="AG47" s="1">
        <v>157</v>
      </c>
      <c r="AH47" s="35">
        <v>46152</v>
      </c>
      <c r="AI47" s="1" t="s">
        <v>71</v>
      </c>
      <c r="AJ47" s="35">
        <v>46153</v>
      </c>
      <c r="AK47" s="1">
        <v>150</v>
      </c>
      <c r="AL47" s="1">
        <v>5</v>
      </c>
      <c r="AM47" s="1">
        <v>5</v>
      </c>
      <c r="AN47" s="52">
        <v>1</v>
      </c>
      <c r="AO47" s="52">
        <v>1</v>
      </c>
    </row>
    <row r="48" spans="1:41" s="14" customFormat="1" ht="37.5" customHeight="1" x14ac:dyDescent="0.3">
      <c r="A48" s="42">
        <f t="shared" ref="A48:A50" si="0">O48</f>
        <v>46235</v>
      </c>
      <c r="B48" s="50">
        <f t="shared" ref="B48:B50" si="1">P48</f>
        <v>46246</v>
      </c>
      <c r="C48" s="43" t="str">
        <f t="shared" ref="C48:C50" si="2">Q48</f>
        <v>Sunrise Agro Foods</v>
      </c>
      <c r="D48" s="43" t="str">
        <f t="shared" ref="D48:D50" si="3">R48</f>
        <v>Rice Bran</v>
      </c>
      <c r="E48" s="53">
        <f t="shared" ref="E48:E50" si="4">S48</f>
        <v>15.3</v>
      </c>
      <c r="F48" s="50">
        <f t="shared" ref="F48:F50" si="5">T48</f>
        <v>46251</v>
      </c>
      <c r="G48" s="43" t="str">
        <f t="shared" ref="G48:G50" si="6">U48</f>
        <v>SAI/039</v>
      </c>
      <c r="H48" s="50">
        <f t="shared" ref="H48:H50" si="7">V48</f>
        <v>46251</v>
      </c>
      <c r="I48" s="53">
        <v>14</v>
      </c>
      <c r="J48" s="44">
        <f t="shared" ref="J48:J65" si="8">F48-B48</f>
        <v>5</v>
      </c>
      <c r="K48" s="43">
        <f t="shared" ref="K48:K65" si="9">H48-B48</f>
        <v>5</v>
      </c>
      <c r="L48" s="45">
        <f t="shared" ref="L48:L65" si="10">J48/K48</f>
        <v>1</v>
      </c>
      <c r="M48" s="13">
        <f t="shared" ref="M48:M50" si="11">I48/E48</f>
        <v>0.91503267973856206</v>
      </c>
      <c r="O48" s="51">
        <v>46235</v>
      </c>
      <c r="P48" s="35">
        <v>46246</v>
      </c>
      <c r="Q48" s="1" t="s">
        <v>72</v>
      </c>
      <c r="R48" s="1" t="s">
        <v>73</v>
      </c>
      <c r="S48" s="1">
        <v>15.3</v>
      </c>
      <c r="T48" s="35">
        <v>46251</v>
      </c>
      <c r="U48" s="1" t="s">
        <v>88</v>
      </c>
      <c r="V48" s="35">
        <v>46251</v>
      </c>
      <c r="W48" s="1">
        <v>15.3</v>
      </c>
      <c r="X48" s="1">
        <v>5</v>
      </c>
      <c r="Y48" s="1">
        <v>5</v>
      </c>
      <c r="Z48" s="52">
        <v>1</v>
      </c>
      <c r="AA48" s="52">
        <v>1</v>
      </c>
      <c r="AC48" s="51">
        <v>46143</v>
      </c>
      <c r="AD48" s="35">
        <v>46154</v>
      </c>
      <c r="AE48" s="1" t="s">
        <v>72</v>
      </c>
      <c r="AF48" s="1" t="s">
        <v>73</v>
      </c>
      <c r="AG48" s="1">
        <v>15.3</v>
      </c>
      <c r="AH48" s="35">
        <v>46159</v>
      </c>
      <c r="AI48" s="1" t="s">
        <v>74</v>
      </c>
      <c r="AJ48" s="35">
        <v>46159</v>
      </c>
      <c r="AK48" s="1">
        <v>15.3</v>
      </c>
      <c r="AL48" s="1">
        <v>5</v>
      </c>
      <c r="AM48" s="1">
        <v>5</v>
      </c>
      <c r="AN48" s="52">
        <v>1</v>
      </c>
      <c r="AO48" s="52">
        <v>1</v>
      </c>
    </row>
    <row r="49" spans="1:41" s="14" customFormat="1" ht="51" customHeight="1" x14ac:dyDescent="0.3">
      <c r="A49" s="42">
        <f t="shared" si="0"/>
        <v>46235</v>
      </c>
      <c r="B49" s="50">
        <f t="shared" si="1"/>
        <v>46253</v>
      </c>
      <c r="C49" s="43" t="str">
        <f t="shared" si="2"/>
        <v>Mahadev Rice &amp; Gen Mill</v>
      </c>
      <c r="D49" s="43" t="str">
        <f t="shared" si="3"/>
        <v>Rice Bran</v>
      </c>
      <c r="E49" s="53">
        <f t="shared" si="4"/>
        <v>95.05</v>
      </c>
      <c r="F49" s="50">
        <f t="shared" si="5"/>
        <v>46258</v>
      </c>
      <c r="G49" s="43" t="str">
        <f t="shared" si="6"/>
        <v>SAI/040</v>
      </c>
      <c r="H49" s="50">
        <f t="shared" si="7"/>
        <v>46258</v>
      </c>
      <c r="I49" s="53">
        <f t="shared" ref="I48:I50" si="12">W49</f>
        <v>95.05</v>
      </c>
      <c r="J49" s="44">
        <f>F49-B49</f>
        <v>5</v>
      </c>
      <c r="K49" s="43">
        <f t="shared" si="9"/>
        <v>5</v>
      </c>
      <c r="L49" s="45">
        <f t="shared" si="10"/>
        <v>1</v>
      </c>
      <c r="M49" s="13">
        <f t="shared" si="11"/>
        <v>1</v>
      </c>
      <c r="O49" s="51">
        <v>46235</v>
      </c>
      <c r="P49" s="35">
        <v>46253</v>
      </c>
      <c r="Q49" s="1" t="s">
        <v>75</v>
      </c>
      <c r="R49" s="1" t="s">
        <v>73</v>
      </c>
      <c r="S49" s="1">
        <v>95.05</v>
      </c>
      <c r="T49" s="35">
        <v>46258</v>
      </c>
      <c r="U49" s="1" t="s">
        <v>89</v>
      </c>
      <c r="V49" s="35">
        <v>46258</v>
      </c>
      <c r="W49" s="1">
        <v>95.05</v>
      </c>
      <c r="X49" s="1">
        <v>5</v>
      </c>
      <c r="Y49" s="1">
        <v>5</v>
      </c>
      <c r="Z49" s="52">
        <v>1</v>
      </c>
      <c r="AA49" s="52">
        <v>1</v>
      </c>
      <c r="AC49" s="51">
        <v>46143</v>
      </c>
      <c r="AD49" s="35">
        <v>46161</v>
      </c>
      <c r="AE49" s="1" t="s">
        <v>75</v>
      </c>
      <c r="AF49" s="1" t="s">
        <v>73</v>
      </c>
      <c r="AG49" s="1">
        <v>15.5</v>
      </c>
      <c r="AH49" s="35">
        <v>46166</v>
      </c>
      <c r="AI49" s="1" t="s">
        <v>76</v>
      </c>
      <c r="AJ49" s="35">
        <v>46166</v>
      </c>
      <c r="AK49" s="1">
        <v>15.5</v>
      </c>
      <c r="AL49" s="1">
        <v>5</v>
      </c>
      <c r="AM49" s="1">
        <v>5</v>
      </c>
      <c r="AN49" s="52">
        <v>1</v>
      </c>
      <c r="AO49" s="52">
        <v>1</v>
      </c>
    </row>
    <row r="50" spans="1:41" s="14" customFormat="1" ht="57" customHeight="1" x14ac:dyDescent="0.3">
      <c r="A50" s="42">
        <f t="shared" si="0"/>
        <v>46235</v>
      </c>
      <c r="B50" s="50">
        <f t="shared" si="1"/>
        <v>46260</v>
      </c>
      <c r="C50" s="43" t="str">
        <f t="shared" si="2"/>
        <v>Shri Ganesh Feeds</v>
      </c>
      <c r="D50" s="43" t="str">
        <f t="shared" si="3"/>
        <v>Paddy Husk</v>
      </c>
      <c r="E50" s="53">
        <f t="shared" si="4"/>
        <v>157</v>
      </c>
      <c r="F50" s="50">
        <f t="shared" si="5"/>
        <v>46265</v>
      </c>
      <c r="G50" s="43" t="str">
        <f t="shared" si="6"/>
        <v>SAI/041</v>
      </c>
      <c r="H50" s="50">
        <f t="shared" si="7"/>
        <v>46266</v>
      </c>
      <c r="I50" s="53">
        <f t="shared" si="12"/>
        <v>157</v>
      </c>
      <c r="J50" s="44">
        <f t="shared" si="8"/>
        <v>5</v>
      </c>
      <c r="K50" s="43">
        <f t="shared" si="9"/>
        <v>6</v>
      </c>
      <c r="L50" s="45">
        <f t="shared" si="10"/>
        <v>0.83333333333333337</v>
      </c>
      <c r="M50" s="13">
        <f t="shared" si="11"/>
        <v>1</v>
      </c>
      <c r="O50" s="51">
        <v>46235</v>
      </c>
      <c r="P50" s="35">
        <v>46260</v>
      </c>
      <c r="Q50" s="1" t="s">
        <v>77</v>
      </c>
      <c r="R50" s="1" t="s">
        <v>70</v>
      </c>
      <c r="S50" s="1">
        <v>157</v>
      </c>
      <c r="T50" s="35">
        <v>46265</v>
      </c>
      <c r="U50" s="1" t="s">
        <v>90</v>
      </c>
      <c r="V50" s="35">
        <v>46266</v>
      </c>
      <c r="W50" s="1">
        <v>157</v>
      </c>
      <c r="X50" s="1">
        <v>5</v>
      </c>
      <c r="Y50" s="1">
        <v>5</v>
      </c>
      <c r="Z50" s="52">
        <v>1</v>
      </c>
      <c r="AA50" s="52">
        <v>1</v>
      </c>
      <c r="AC50" s="51">
        <v>46143</v>
      </c>
      <c r="AD50" s="35">
        <v>46167</v>
      </c>
      <c r="AE50" s="1" t="s">
        <v>77</v>
      </c>
      <c r="AF50" s="1" t="s">
        <v>70</v>
      </c>
      <c r="AG50" s="1">
        <v>203.5</v>
      </c>
      <c r="AH50" s="35">
        <v>46172</v>
      </c>
      <c r="AI50" s="1" t="s">
        <v>78</v>
      </c>
      <c r="AJ50" s="35">
        <v>46172</v>
      </c>
      <c r="AK50" s="1">
        <v>203.5</v>
      </c>
      <c r="AL50" s="1">
        <v>5</v>
      </c>
      <c r="AM50" s="1">
        <v>5</v>
      </c>
      <c r="AN50" s="52">
        <v>1</v>
      </c>
      <c r="AO50" s="52">
        <v>1</v>
      </c>
    </row>
    <row r="51" spans="1:41" s="14" customFormat="1" ht="26.25" customHeight="1" x14ac:dyDescent="0.3">
      <c r="A51" s="91">
        <f>A50</f>
        <v>46235</v>
      </c>
      <c r="B51" s="92"/>
      <c r="C51" s="92"/>
      <c r="D51" s="92"/>
      <c r="E51" s="93"/>
      <c r="F51" s="46"/>
      <c r="G51" s="47"/>
      <c r="H51" s="46"/>
      <c r="I51" s="47"/>
      <c r="J51" s="44"/>
      <c r="K51" s="43"/>
      <c r="L51" s="49">
        <f>AVERAGE(L47:L50)</f>
        <v>0.95833333333333337</v>
      </c>
      <c r="M51" s="49">
        <f>AVERAGE(M47:M50)</f>
        <v>0.97445841563488622</v>
      </c>
      <c r="O51" s="37">
        <v>46204</v>
      </c>
      <c r="P51" s="1"/>
      <c r="Q51" s="1"/>
      <c r="R51" s="2" t="s">
        <v>57</v>
      </c>
      <c r="S51" s="34"/>
      <c r="T51" s="1"/>
      <c r="U51"/>
      <c r="V51" s="1"/>
      <c r="W51" s="34"/>
      <c r="X51" s="34"/>
      <c r="Y51" s="34"/>
      <c r="Z51" s="40">
        <v>0.99</v>
      </c>
      <c r="AA51" s="40">
        <v>0.99</v>
      </c>
      <c r="AC51" s="37">
        <v>46204</v>
      </c>
      <c r="AD51" s="1"/>
      <c r="AE51" s="1"/>
      <c r="AF51" s="2" t="s">
        <v>57</v>
      </c>
      <c r="AG51" s="34"/>
      <c r="AH51" s="1"/>
      <c r="AI51"/>
      <c r="AJ51" s="1"/>
      <c r="AK51" s="34"/>
      <c r="AL51" s="34"/>
      <c r="AM51" s="34"/>
      <c r="AN51" s="40">
        <v>0.99</v>
      </c>
      <c r="AO51" s="40">
        <v>0.99</v>
      </c>
    </row>
    <row r="52" spans="1:41" s="16" customFormat="1" ht="53.4" customHeight="1" x14ac:dyDescent="0.3">
      <c r="A52" s="42">
        <f>O52</f>
        <v>46204</v>
      </c>
      <c r="B52" s="50">
        <f t="shared" ref="B52:H55" si="13">P52</f>
        <v>46207</v>
      </c>
      <c r="C52" s="42" t="str">
        <f t="shared" si="13"/>
        <v>P.S Agro Foods</v>
      </c>
      <c r="D52" s="42" t="str">
        <f t="shared" si="13"/>
        <v>Paddy Husk</v>
      </c>
      <c r="E52" s="53">
        <v>200</v>
      </c>
      <c r="F52" s="50">
        <f t="shared" si="13"/>
        <v>46211</v>
      </c>
      <c r="G52" s="42" t="str">
        <f t="shared" si="13"/>
        <v>SAI/034</v>
      </c>
      <c r="H52" s="50">
        <f t="shared" si="13"/>
        <v>46212</v>
      </c>
      <c r="I52" s="53">
        <v>190</v>
      </c>
      <c r="J52" s="44">
        <f t="shared" si="8"/>
        <v>4</v>
      </c>
      <c r="K52" s="43">
        <f t="shared" si="9"/>
        <v>5</v>
      </c>
      <c r="L52" s="45">
        <f t="shared" si="10"/>
        <v>0.8</v>
      </c>
      <c r="M52" s="13">
        <f>I52/E52</f>
        <v>0.95</v>
      </c>
      <c r="O52" s="51">
        <v>46204</v>
      </c>
      <c r="P52" s="35">
        <v>46207</v>
      </c>
      <c r="Q52" s="1" t="s">
        <v>69</v>
      </c>
      <c r="R52" s="1" t="s">
        <v>70</v>
      </c>
      <c r="S52" s="1">
        <v>157</v>
      </c>
      <c r="T52" s="35">
        <v>46211</v>
      </c>
      <c r="U52" s="1" t="s">
        <v>83</v>
      </c>
      <c r="V52" s="35">
        <v>46212</v>
      </c>
      <c r="W52" s="1">
        <v>157</v>
      </c>
      <c r="X52" s="1">
        <v>5</v>
      </c>
      <c r="Y52" s="1">
        <v>5</v>
      </c>
      <c r="Z52" s="52">
        <v>1</v>
      </c>
      <c r="AA52" s="52">
        <v>1</v>
      </c>
      <c r="AC52" s="51">
        <v>46174</v>
      </c>
      <c r="AD52" s="35">
        <v>46177</v>
      </c>
      <c r="AE52" s="1" t="s">
        <v>77</v>
      </c>
      <c r="AF52" s="1" t="s">
        <v>70</v>
      </c>
      <c r="AG52" s="1">
        <v>203.5</v>
      </c>
      <c r="AH52" s="35">
        <v>46192</v>
      </c>
      <c r="AI52" s="1" t="s">
        <v>79</v>
      </c>
      <c r="AJ52" s="35">
        <v>46192</v>
      </c>
      <c r="AK52" s="1">
        <v>203.5</v>
      </c>
      <c r="AL52" s="1">
        <v>5</v>
      </c>
      <c r="AM52" s="1">
        <v>5</v>
      </c>
      <c r="AN52" s="52">
        <v>1</v>
      </c>
      <c r="AO52" s="52">
        <v>1</v>
      </c>
    </row>
    <row r="53" spans="1:41" s="16" customFormat="1" ht="37.5" customHeight="1" x14ac:dyDescent="0.3">
      <c r="A53" s="12">
        <f t="shared" ref="A53:A55" si="14">O53</f>
        <v>46204</v>
      </c>
      <c r="B53" s="50">
        <f t="shared" si="13"/>
        <v>46214</v>
      </c>
      <c r="C53" s="43" t="str">
        <f t="shared" si="13"/>
        <v>Mahadev Rice &amp; Gen Mill</v>
      </c>
      <c r="D53" s="12" t="str">
        <f t="shared" ref="D53:D55" si="15">R53</f>
        <v>Rice Bran</v>
      </c>
      <c r="E53" s="53">
        <v>80</v>
      </c>
      <c r="F53" s="50">
        <f t="shared" ref="F53:F55" si="16">T53</f>
        <v>46219</v>
      </c>
      <c r="G53" s="12" t="str">
        <f t="shared" ref="G53:G55" si="17">U53</f>
        <v>SAI/035</v>
      </c>
      <c r="H53" s="50">
        <f t="shared" ref="H53:H55" si="18">V53</f>
        <v>46219</v>
      </c>
      <c r="I53" s="53">
        <v>70</v>
      </c>
      <c r="J53" s="28">
        <f t="shared" si="8"/>
        <v>5</v>
      </c>
      <c r="K53" s="32">
        <f t="shared" si="9"/>
        <v>5</v>
      </c>
      <c r="L53" s="13">
        <f t="shared" si="10"/>
        <v>1</v>
      </c>
      <c r="M53" s="13">
        <f t="shared" ref="M53:M55" si="19">I53/E53</f>
        <v>0.875</v>
      </c>
      <c r="O53" s="51">
        <v>46204</v>
      </c>
      <c r="P53" s="35">
        <v>46214</v>
      </c>
      <c r="Q53" s="1" t="s">
        <v>75</v>
      </c>
      <c r="R53" s="1" t="s">
        <v>73</v>
      </c>
      <c r="S53" s="1">
        <v>95.05</v>
      </c>
      <c r="T53" s="35">
        <v>46219</v>
      </c>
      <c r="U53" s="1" t="s">
        <v>84</v>
      </c>
      <c r="V53" s="35">
        <v>46219</v>
      </c>
      <c r="W53" s="1">
        <v>95.05</v>
      </c>
      <c r="X53" s="1">
        <v>5</v>
      </c>
      <c r="Y53" s="1">
        <v>5</v>
      </c>
      <c r="Z53" s="52">
        <v>1</v>
      </c>
      <c r="AA53" s="52">
        <v>1</v>
      </c>
      <c r="AC53" s="51">
        <v>46174</v>
      </c>
      <c r="AD53" s="35">
        <v>46184</v>
      </c>
      <c r="AE53" s="1" t="s">
        <v>72</v>
      </c>
      <c r="AF53" s="1" t="s">
        <v>73</v>
      </c>
      <c r="AG53" s="1">
        <v>15.3</v>
      </c>
      <c r="AH53" s="35">
        <v>46193</v>
      </c>
      <c r="AI53" s="1" t="s">
        <v>80</v>
      </c>
      <c r="AJ53" s="35">
        <v>46193</v>
      </c>
      <c r="AK53" s="1">
        <v>15.3</v>
      </c>
      <c r="AL53" s="1">
        <v>5</v>
      </c>
      <c r="AM53" s="1">
        <v>5</v>
      </c>
      <c r="AN53" s="52">
        <v>1</v>
      </c>
      <c r="AO53" s="52">
        <v>1</v>
      </c>
    </row>
    <row r="54" spans="1:41" s="16" customFormat="1" ht="46.5" customHeight="1" x14ac:dyDescent="0.3">
      <c r="A54" s="12">
        <f t="shared" si="14"/>
        <v>46204</v>
      </c>
      <c r="B54" s="50">
        <f t="shared" si="13"/>
        <v>46221</v>
      </c>
      <c r="C54" s="12" t="str">
        <f t="shared" ref="C54:C55" si="20">Q54</f>
        <v>Sunrise Agro Foods</v>
      </c>
      <c r="D54" s="12" t="str">
        <f t="shared" si="15"/>
        <v>Rice Bran</v>
      </c>
      <c r="E54" s="53">
        <v>20</v>
      </c>
      <c r="F54" s="50">
        <f t="shared" si="16"/>
        <v>46229</v>
      </c>
      <c r="G54" s="12" t="str">
        <f t="shared" si="17"/>
        <v>SAI/036</v>
      </c>
      <c r="H54" s="50">
        <f t="shared" si="18"/>
        <v>46229</v>
      </c>
      <c r="I54" s="53">
        <v>20</v>
      </c>
      <c r="J54" s="28">
        <f t="shared" si="8"/>
        <v>8</v>
      </c>
      <c r="K54" s="32">
        <f t="shared" si="9"/>
        <v>8</v>
      </c>
      <c r="L54" s="13">
        <f t="shared" si="10"/>
        <v>1</v>
      </c>
      <c r="M54" s="13">
        <f t="shared" si="19"/>
        <v>1</v>
      </c>
      <c r="O54" s="51">
        <v>46204</v>
      </c>
      <c r="P54" s="35">
        <v>46221</v>
      </c>
      <c r="Q54" s="1" t="s">
        <v>72</v>
      </c>
      <c r="R54" s="1" t="s">
        <v>73</v>
      </c>
      <c r="S54" s="1">
        <v>15.5</v>
      </c>
      <c r="T54" s="35">
        <v>46229</v>
      </c>
      <c r="U54" s="1" t="s">
        <v>85</v>
      </c>
      <c r="V54" s="35">
        <v>46229</v>
      </c>
      <c r="W54" s="1">
        <v>15.5</v>
      </c>
      <c r="X54" s="1">
        <v>5</v>
      </c>
      <c r="Y54" s="1">
        <v>6</v>
      </c>
      <c r="Z54" s="52">
        <v>0.83</v>
      </c>
      <c r="AA54" s="52">
        <v>1</v>
      </c>
      <c r="AC54" s="51">
        <v>46174</v>
      </c>
      <c r="AD54" s="35">
        <v>46191</v>
      </c>
      <c r="AE54" s="1" t="s">
        <v>75</v>
      </c>
      <c r="AF54" s="1" t="s">
        <v>73</v>
      </c>
      <c r="AG54" s="1">
        <v>15.5</v>
      </c>
      <c r="AH54" s="35">
        <v>46196</v>
      </c>
      <c r="AI54" s="1" t="s">
        <v>81</v>
      </c>
      <c r="AJ54" s="35">
        <v>46197</v>
      </c>
      <c r="AK54" s="1">
        <v>15.5</v>
      </c>
      <c r="AL54" s="1">
        <v>5</v>
      </c>
      <c r="AM54" s="1">
        <v>6</v>
      </c>
      <c r="AN54" s="52">
        <v>0.83</v>
      </c>
      <c r="AO54" s="52">
        <v>1</v>
      </c>
    </row>
    <row r="55" spans="1:41" s="16" customFormat="1" ht="51" customHeight="1" x14ac:dyDescent="0.3">
      <c r="A55" s="12">
        <f t="shared" si="14"/>
        <v>46204</v>
      </c>
      <c r="B55" s="50">
        <f t="shared" si="13"/>
        <v>46228</v>
      </c>
      <c r="C55" s="12" t="str">
        <f t="shared" si="20"/>
        <v>Shri Ganesh Feeds</v>
      </c>
      <c r="D55" s="12" t="str">
        <f t="shared" si="15"/>
        <v>Paddy Husk</v>
      </c>
      <c r="E55" s="53">
        <v>190</v>
      </c>
      <c r="F55" s="50">
        <f t="shared" si="16"/>
        <v>46231</v>
      </c>
      <c r="G55" s="12" t="str">
        <f t="shared" si="17"/>
        <v>SAI/037</v>
      </c>
      <c r="H55" s="50">
        <f t="shared" si="18"/>
        <v>46231</v>
      </c>
      <c r="I55" s="53">
        <v>190</v>
      </c>
      <c r="J55" s="28">
        <f>F55-B55</f>
        <v>3</v>
      </c>
      <c r="K55" s="32">
        <f>H55-B55</f>
        <v>3</v>
      </c>
      <c r="L55" s="13">
        <f t="shared" si="10"/>
        <v>1</v>
      </c>
      <c r="M55" s="13">
        <f t="shared" si="19"/>
        <v>1</v>
      </c>
      <c r="O55" s="51">
        <v>46204</v>
      </c>
      <c r="P55" s="35">
        <v>46228</v>
      </c>
      <c r="Q55" s="1" t="s">
        <v>77</v>
      </c>
      <c r="R55" s="1" t="s">
        <v>70</v>
      </c>
      <c r="S55" s="1">
        <v>203.5</v>
      </c>
      <c r="T55" s="35">
        <v>46231</v>
      </c>
      <c r="U55" s="1" t="s">
        <v>86</v>
      </c>
      <c r="V55" s="35">
        <v>46231</v>
      </c>
      <c r="W55" s="1">
        <v>203.5</v>
      </c>
      <c r="X55" s="1">
        <v>5</v>
      </c>
      <c r="Y55" s="1">
        <v>5</v>
      </c>
      <c r="Z55" s="52">
        <v>1</v>
      </c>
      <c r="AA55" s="52">
        <v>1</v>
      </c>
      <c r="AC55" s="51">
        <v>46174</v>
      </c>
      <c r="AD55" s="35">
        <v>46198</v>
      </c>
      <c r="AE55" s="1" t="s">
        <v>69</v>
      </c>
      <c r="AF55" s="1" t="s">
        <v>70</v>
      </c>
      <c r="AG55" s="1">
        <v>157</v>
      </c>
      <c r="AH55" s="35">
        <v>46202</v>
      </c>
      <c r="AI55" s="1" t="s">
        <v>82</v>
      </c>
      <c r="AJ55" s="35">
        <v>46202</v>
      </c>
      <c r="AK55" s="1">
        <v>157</v>
      </c>
      <c r="AL55" s="1">
        <v>5</v>
      </c>
      <c r="AM55" s="1">
        <v>5</v>
      </c>
      <c r="AN55" s="52">
        <v>1</v>
      </c>
      <c r="AO55" s="52">
        <v>1</v>
      </c>
    </row>
    <row r="56" spans="1:41" s="16" customFormat="1" ht="28.8" x14ac:dyDescent="0.55000000000000004">
      <c r="A56" s="88">
        <f>A55</f>
        <v>46204</v>
      </c>
      <c r="B56" s="89"/>
      <c r="C56" s="89"/>
      <c r="D56" s="89"/>
      <c r="E56" s="90"/>
      <c r="F56" s="38"/>
      <c r="G56" s="17"/>
      <c r="H56" s="38"/>
      <c r="I56" s="17"/>
      <c r="J56" s="28"/>
      <c r="K56" s="32"/>
      <c r="L56" s="48">
        <f>AVERAGE(L52:L55)</f>
        <v>0.95</v>
      </c>
      <c r="M56" s="48">
        <f>AVERAGE(M52:M55)</f>
        <v>0.95625000000000004</v>
      </c>
      <c r="O56" s="37">
        <v>46174</v>
      </c>
      <c r="P56" s="1"/>
      <c r="Q56" s="1"/>
      <c r="R56" s="2" t="s">
        <v>57</v>
      </c>
      <c r="S56" s="34"/>
      <c r="T56" s="1"/>
      <c r="U56"/>
      <c r="V56" s="1"/>
      <c r="W56" s="34"/>
      <c r="X56" s="34"/>
      <c r="Y56" s="34"/>
      <c r="Z56" s="40">
        <v>0.98</v>
      </c>
      <c r="AA56" s="41">
        <v>0.98499999999999999</v>
      </c>
      <c r="AC56" s="37">
        <v>46174</v>
      </c>
      <c r="AD56" s="1"/>
      <c r="AE56" s="1"/>
      <c r="AF56" s="2" t="s">
        <v>57</v>
      </c>
      <c r="AG56" s="34"/>
      <c r="AH56" s="1"/>
      <c r="AI56"/>
      <c r="AJ56" s="1"/>
      <c r="AK56" s="34"/>
      <c r="AL56" s="34"/>
      <c r="AM56" s="34"/>
      <c r="AN56" s="40">
        <v>0.98</v>
      </c>
      <c r="AO56" s="41">
        <v>0.98499999999999999</v>
      </c>
    </row>
    <row r="57" spans="1:41" ht="51" customHeight="1" x14ac:dyDescent="0.3">
      <c r="A57" s="12">
        <f>O57</f>
        <v>46174</v>
      </c>
      <c r="B57" s="50">
        <f>P57</f>
        <v>46177</v>
      </c>
      <c r="C57" s="12" t="str">
        <f t="shared" ref="C57:C60" si="21">Q57</f>
        <v>Shri Ganesh Feeds</v>
      </c>
      <c r="D57" s="12" t="str">
        <f t="shared" ref="D57:D59" si="22">R57</f>
        <v>Paddy Husk</v>
      </c>
      <c r="E57" s="54">
        <v>160</v>
      </c>
      <c r="F57" s="50">
        <f t="shared" ref="F57:F60" si="23">T57</f>
        <v>46192</v>
      </c>
      <c r="G57" s="12" t="str">
        <f t="shared" ref="G57:G60" si="24">U57</f>
        <v>SAI/030</v>
      </c>
      <c r="H57" s="50">
        <f t="shared" ref="H57:H60" si="25">V57</f>
        <v>46192</v>
      </c>
      <c r="I57" s="54">
        <v>160</v>
      </c>
      <c r="J57" s="28">
        <f t="shared" si="8"/>
        <v>15</v>
      </c>
      <c r="K57" s="32">
        <f>H57-B57</f>
        <v>15</v>
      </c>
      <c r="L57" s="13">
        <v>0.98</v>
      </c>
      <c r="M57" s="13">
        <f>I57/E57</f>
        <v>1</v>
      </c>
      <c r="O57" s="51">
        <v>46174</v>
      </c>
      <c r="P57" s="35">
        <v>46177</v>
      </c>
      <c r="Q57" s="1" t="s">
        <v>77</v>
      </c>
      <c r="R57" s="1" t="s">
        <v>70</v>
      </c>
      <c r="S57" s="1">
        <v>203.5</v>
      </c>
      <c r="T57" s="35">
        <v>46192</v>
      </c>
      <c r="U57" s="1" t="s">
        <v>79</v>
      </c>
      <c r="V57" s="35">
        <v>46192</v>
      </c>
      <c r="W57" s="1">
        <v>203.5</v>
      </c>
      <c r="X57" s="1">
        <v>5</v>
      </c>
      <c r="Y57" s="1">
        <v>5</v>
      </c>
      <c r="Z57" s="52">
        <v>1</v>
      </c>
      <c r="AA57" s="52">
        <v>1</v>
      </c>
      <c r="AC57" s="51">
        <v>46204</v>
      </c>
      <c r="AD57" s="35">
        <v>46207</v>
      </c>
      <c r="AE57" s="1" t="s">
        <v>69</v>
      </c>
      <c r="AF57" s="1" t="s">
        <v>70</v>
      </c>
      <c r="AG57" s="1">
        <v>157</v>
      </c>
      <c r="AH57" s="35">
        <v>46211</v>
      </c>
      <c r="AI57" s="1" t="s">
        <v>83</v>
      </c>
      <c r="AJ57" s="35">
        <v>46212</v>
      </c>
      <c r="AK57" s="1">
        <v>157</v>
      </c>
      <c r="AL57" s="1">
        <v>5</v>
      </c>
      <c r="AM57" s="1">
        <v>5</v>
      </c>
      <c r="AN57" s="52">
        <v>1</v>
      </c>
      <c r="AO57" s="52">
        <v>1</v>
      </c>
    </row>
    <row r="58" spans="1:41" ht="37.5" customHeight="1" x14ac:dyDescent="0.3">
      <c r="A58" s="12">
        <f t="shared" ref="A58:A60" si="26">O58</f>
        <v>46174</v>
      </c>
      <c r="B58" s="50">
        <f t="shared" ref="B58:B60" si="27">P58</f>
        <v>46184</v>
      </c>
      <c r="C58" s="12" t="str">
        <f t="shared" si="21"/>
        <v>Sunrise Agro Foods</v>
      </c>
      <c r="D58" s="12" t="str">
        <f t="shared" si="22"/>
        <v>Rice Bran</v>
      </c>
      <c r="E58" s="54">
        <v>20</v>
      </c>
      <c r="F58" s="50">
        <f t="shared" si="23"/>
        <v>46193</v>
      </c>
      <c r="G58" s="12" t="str">
        <f t="shared" si="24"/>
        <v>SAI/031</v>
      </c>
      <c r="H58" s="50">
        <f t="shared" si="25"/>
        <v>46194</v>
      </c>
      <c r="I58" s="54">
        <v>15</v>
      </c>
      <c r="J58" s="28">
        <f t="shared" si="8"/>
        <v>9</v>
      </c>
      <c r="K58" s="32">
        <f t="shared" si="9"/>
        <v>10</v>
      </c>
      <c r="L58" s="13">
        <f t="shared" si="10"/>
        <v>0.9</v>
      </c>
      <c r="M58" s="13">
        <f t="shared" ref="M58:M60" si="28">I58/E58</f>
        <v>0.75</v>
      </c>
      <c r="O58" s="51">
        <v>46174</v>
      </c>
      <c r="P58" s="35">
        <v>46184</v>
      </c>
      <c r="Q58" s="1" t="s">
        <v>72</v>
      </c>
      <c r="R58" s="1" t="s">
        <v>73</v>
      </c>
      <c r="S58" s="1">
        <v>15.3</v>
      </c>
      <c r="T58" s="35">
        <v>46193</v>
      </c>
      <c r="U58" s="1" t="s">
        <v>80</v>
      </c>
      <c r="V58" s="35">
        <v>46194</v>
      </c>
      <c r="W58" s="1">
        <v>15.3</v>
      </c>
      <c r="X58" s="1">
        <v>5</v>
      </c>
      <c r="Y58" s="1">
        <v>5</v>
      </c>
      <c r="Z58" s="52">
        <v>1</v>
      </c>
      <c r="AA58" s="52">
        <v>1</v>
      </c>
      <c r="AC58" s="51">
        <v>46204</v>
      </c>
      <c r="AD58" s="35">
        <v>46214</v>
      </c>
      <c r="AE58" s="1" t="s">
        <v>75</v>
      </c>
      <c r="AF58" s="1" t="s">
        <v>73</v>
      </c>
      <c r="AG58" s="1">
        <v>95.05</v>
      </c>
      <c r="AH58" s="35">
        <v>46219</v>
      </c>
      <c r="AI58" s="1" t="s">
        <v>84</v>
      </c>
      <c r="AJ58" s="35">
        <v>46220</v>
      </c>
      <c r="AK58" s="1">
        <v>95.05</v>
      </c>
      <c r="AL58" s="1">
        <v>5</v>
      </c>
      <c r="AM58" s="1">
        <v>5</v>
      </c>
      <c r="AN58" s="52">
        <v>1</v>
      </c>
      <c r="AO58" s="52">
        <v>1</v>
      </c>
    </row>
    <row r="59" spans="1:41" ht="49.5" customHeight="1" x14ac:dyDescent="0.3">
      <c r="A59" s="12">
        <f t="shared" si="26"/>
        <v>46174</v>
      </c>
      <c r="B59" s="50">
        <f t="shared" si="27"/>
        <v>46191</v>
      </c>
      <c r="C59" s="12" t="str">
        <f t="shared" si="21"/>
        <v>Mahadev Rice &amp; Gen Mill</v>
      </c>
      <c r="D59" s="12" t="str">
        <f t="shared" si="22"/>
        <v>Rice Bran</v>
      </c>
      <c r="E59" s="54">
        <v>25</v>
      </c>
      <c r="F59" s="50">
        <f t="shared" si="23"/>
        <v>46196</v>
      </c>
      <c r="G59" s="12" t="str">
        <f t="shared" si="24"/>
        <v>SAI/032</v>
      </c>
      <c r="H59" s="50">
        <f t="shared" si="25"/>
        <v>46197</v>
      </c>
      <c r="I59" s="54">
        <v>25</v>
      </c>
      <c r="J59" s="28">
        <f t="shared" si="8"/>
        <v>5</v>
      </c>
      <c r="K59" s="32">
        <f t="shared" si="9"/>
        <v>6</v>
      </c>
      <c r="L59" s="13">
        <f t="shared" si="10"/>
        <v>0.83333333333333337</v>
      </c>
      <c r="M59" s="13">
        <f t="shared" si="28"/>
        <v>1</v>
      </c>
      <c r="O59" s="51">
        <v>46174</v>
      </c>
      <c r="P59" s="35">
        <v>46191</v>
      </c>
      <c r="Q59" s="1" t="s">
        <v>75</v>
      </c>
      <c r="R59" s="1" t="s">
        <v>73</v>
      </c>
      <c r="S59" s="1">
        <v>15.5</v>
      </c>
      <c r="T59" s="35">
        <v>46196</v>
      </c>
      <c r="U59" s="1" t="s">
        <v>81</v>
      </c>
      <c r="V59" s="35">
        <v>46197</v>
      </c>
      <c r="W59" s="1">
        <v>15.5</v>
      </c>
      <c r="X59" s="1">
        <v>5</v>
      </c>
      <c r="Y59" s="1">
        <v>6</v>
      </c>
      <c r="Z59" s="52">
        <v>0.83</v>
      </c>
      <c r="AA59" s="52">
        <v>1</v>
      </c>
      <c r="AC59" s="51">
        <v>46204</v>
      </c>
      <c r="AD59" s="35">
        <v>46221</v>
      </c>
      <c r="AE59" s="1" t="s">
        <v>72</v>
      </c>
      <c r="AF59" s="1" t="s">
        <v>73</v>
      </c>
      <c r="AG59" s="1">
        <v>15.5</v>
      </c>
      <c r="AH59" s="35">
        <v>46229</v>
      </c>
      <c r="AI59" s="1" t="s">
        <v>85</v>
      </c>
      <c r="AJ59" s="35">
        <v>46229</v>
      </c>
      <c r="AK59" s="1">
        <v>15.5</v>
      </c>
      <c r="AL59" s="1">
        <v>5</v>
      </c>
      <c r="AM59" s="1">
        <v>6</v>
      </c>
      <c r="AN59" s="52">
        <v>0.83</v>
      </c>
      <c r="AO59" s="52">
        <v>1</v>
      </c>
    </row>
    <row r="60" spans="1:41" ht="61.2" customHeight="1" x14ac:dyDescent="0.3">
      <c r="A60" s="12">
        <f t="shared" si="26"/>
        <v>46174</v>
      </c>
      <c r="B60" s="50">
        <f t="shared" si="27"/>
        <v>46198</v>
      </c>
      <c r="C60" s="12" t="str">
        <f t="shared" si="21"/>
        <v>P.S Agro Foods</v>
      </c>
      <c r="D60" s="12" t="str">
        <f>R60</f>
        <v>Paddy Husk</v>
      </c>
      <c r="E60" s="54">
        <v>195</v>
      </c>
      <c r="F60" s="50">
        <f t="shared" si="23"/>
        <v>46202</v>
      </c>
      <c r="G60" s="12" t="str">
        <f t="shared" si="24"/>
        <v>SAI/033</v>
      </c>
      <c r="H60" s="50">
        <f t="shared" si="25"/>
        <v>46202</v>
      </c>
      <c r="I60" s="54">
        <v>195</v>
      </c>
      <c r="J60" s="28">
        <f t="shared" si="8"/>
        <v>4</v>
      </c>
      <c r="K60" s="32">
        <f t="shared" si="9"/>
        <v>4</v>
      </c>
      <c r="L60" s="13">
        <f t="shared" si="10"/>
        <v>1</v>
      </c>
      <c r="M60" s="13">
        <f t="shared" si="28"/>
        <v>1</v>
      </c>
      <c r="O60" s="51">
        <v>46174</v>
      </c>
      <c r="P60" s="35">
        <v>46198</v>
      </c>
      <c r="Q60" s="1" t="s">
        <v>69</v>
      </c>
      <c r="R60" s="1" t="s">
        <v>70</v>
      </c>
      <c r="S60" s="1">
        <v>157</v>
      </c>
      <c r="T60" s="35">
        <v>46202</v>
      </c>
      <c r="U60" s="1" t="s">
        <v>82</v>
      </c>
      <c r="V60" s="35">
        <v>46202</v>
      </c>
      <c r="W60" s="1">
        <v>157</v>
      </c>
      <c r="X60" s="1">
        <v>5</v>
      </c>
      <c r="Y60" s="1">
        <v>5</v>
      </c>
      <c r="Z60" s="52">
        <v>1</v>
      </c>
      <c r="AA60" s="52">
        <v>1</v>
      </c>
      <c r="AC60" s="51">
        <v>46204</v>
      </c>
      <c r="AD60" s="35">
        <v>46228</v>
      </c>
      <c r="AE60" s="1" t="s">
        <v>77</v>
      </c>
      <c r="AF60" s="1" t="s">
        <v>70</v>
      </c>
      <c r="AG60" s="1">
        <v>203.5</v>
      </c>
      <c r="AH60" s="35">
        <v>46231</v>
      </c>
      <c r="AI60" s="1" t="s">
        <v>86</v>
      </c>
      <c r="AJ60" s="35">
        <v>46231</v>
      </c>
      <c r="AK60" s="1">
        <v>203.5</v>
      </c>
      <c r="AL60" s="1">
        <v>5</v>
      </c>
      <c r="AM60" s="1">
        <v>5</v>
      </c>
      <c r="AN60" s="52">
        <v>1</v>
      </c>
      <c r="AO60" s="52">
        <v>1</v>
      </c>
    </row>
    <row r="61" spans="1:41" ht="28.95" customHeight="1" x14ac:dyDescent="0.55000000000000004">
      <c r="A61" s="88">
        <f>A60</f>
        <v>46174</v>
      </c>
      <c r="B61" s="89"/>
      <c r="C61" s="89"/>
      <c r="D61" s="89"/>
      <c r="E61" s="90"/>
      <c r="F61" s="39"/>
      <c r="G61" s="18"/>
      <c r="H61" s="39"/>
      <c r="I61" s="18"/>
      <c r="J61" s="28"/>
      <c r="K61" s="32"/>
      <c r="L61" s="48">
        <f>AVERAGE(L57:L60)</f>
        <v>0.92833333333333334</v>
      </c>
      <c r="M61" s="48">
        <f>AVERAGE(M57:M60)</f>
        <v>0.9375</v>
      </c>
      <c r="O61" s="11" t="s">
        <v>28</v>
      </c>
      <c r="P61" s="11" t="s">
        <v>29</v>
      </c>
      <c r="Q61" s="11" t="s">
        <v>30</v>
      </c>
      <c r="R61" s="11" t="s">
        <v>31</v>
      </c>
      <c r="S61" s="11" t="s">
        <v>50</v>
      </c>
      <c r="T61" s="11" t="s">
        <v>32</v>
      </c>
      <c r="U61" s="11" t="s">
        <v>33</v>
      </c>
      <c r="V61" s="11" t="s">
        <v>34</v>
      </c>
      <c r="W61" s="11" t="s">
        <v>51</v>
      </c>
      <c r="X61" s="11" t="s">
        <v>48</v>
      </c>
      <c r="Y61" s="11" t="s">
        <v>49</v>
      </c>
      <c r="Z61" s="11" t="s">
        <v>35</v>
      </c>
      <c r="AA61" s="11" t="s">
        <v>36</v>
      </c>
      <c r="AC61" s="11" t="s">
        <v>28</v>
      </c>
      <c r="AD61" s="11" t="s">
        <v>29</v>
      </c>
      <c r="AE61" s="11" t="s">
        <v>30</v>
      </c>
      <c r="AF61" s="11" t="s">
        <v>31</v>
      </c>
      <c r="AG61" s="11" t="s">
        <v>50</v>
      </c>
      <c r="AH61" s="11" t="s">
        <v>32</v>
      </c>
      <c r="AI61" s="11" t="s">
        <v>33</v>
      </c>
      <c r="AJ61" s="11" t="s">
        <v>34</v>
      </c>
      <c r="AK61" s="11" t="s">
        <v>51</v>
      </c>
      <c r="AL61" s="11" t="s">
        <v>48</v>
      </c>
      <c r="AM61" s="11" t="s">
        <v>49</v>
      </c>
      <c r="AN61" s="11" t="s">
        <v>35</v>
      </c>
      <c r="AO61" s="11" t="s">
        <v>36</v>
      </c>
    </row>
    <row r="62" spans="1:41" s="14" customFormat="1" ht="48" customHeight="1" x14ac:dyDescent="0.3">
      <c r="A62" s="12">
        <f>O62</f>
        <v>46143</v>
      </c>
      <c r="B62" s="50">
        <f t="shared" ref="B62:B65" si="29">P62</f>
        <v>46147</v>
      </c>
      <c r="C62" s="12" t="str">
        <f t="shared" ref="C62:C65" si="30">Q62</f>
        <v>P.S Agro Foods</v>
      </c>
      <c r="D62" s="12" t="str">
        <f t="shared" ref="D62:D65" si="31">R62</f>
        <v>Paddy Husk</v>
      </c>
      <c r="E62" s="33">
        <v>225</v>
      </c>
      <c r="F62" s="50">
        <f t="shared" ref="F62:F65" si="32">T62</f>
        <v>46152</v>
      </c>
      <c r="G62" s="12" t="str">
        <f t="shared" ref="G62:G65" si="33">U62</f>
        <v>SAI/026</v>
      </c>
      <c r="H62" s="50">
        <f t="shared" ref="H62:H65" si="34">V62</f>
        <v>46153</v>
      </c>
      <c r="I62" s="33">
        <v>210</v>
      </c>
      <c r="J62" s="28">
        <f t="shared" si="8"/>
        <v>5</v>
      </c>
      <c r="K62" s="32">
        <f t="shared" si="9"/>
        <v>6</v>
      </c>
      <c r="L62" s="13">
        <f t="shared" si="10"/>
        <v>0.83333333333333337</v>
      </c>
      <c r="M62" s="13">
        <f>I62/E62</f>
        <v>0.93333333333333335</v>
      </c>
      <c r="O62" s="51">
        <v>46143</v>
      </c>
      <c r="P62" s="35">
        <v>46147</v>
      </c>
      <c r="Q62" s="1" t="s">
        <v>69</v>
      </c>
      <c r="R62" s="1" t="s">
        <v>70</v>
      </c>
      <c r="S62" s="1">
        <v>157</v>
      </c>
      <c r="T62" s="35">
        <v>46152</v>
      </c>
      <c r="U62" s="1" t="s">
        <v>71</v>
      </c>
      <c r="V62" s="35">
        <v>46153</v>
      </c>
      <c r="W62" s="1">
        <v>150</v>
      </c>
      <c r="X62" s="1">
        <v>5</v>
      </c>
      <c r="Y62" s="1">
        <v>5</v>
      </c>
      <c r="Z62" s="52">
        <v>1</v>
      </c>
      <c r="AA62" s="52">
        <v>1</v>
      </c>
      <c r="AC62" s="51">
        <v>46235</v>
      </c>
      <c r="AD62" s="35">
        <v>46239</v>
      </c>
      <c r="AE62" s="1" t="s">
        <v>69</v>
      </c>
      <c r="AF62" s="1" t="s">
        <v>70</v>
      </c>
      <c r="AG62" s="1">
        <v>203.5</v>
      </c>
      <c r="AH62" s="35">
        <v>46244</v>
      </c>
      <c r="AI62" s="1" t="s">
        <v>87</v>
      </c>
      <c r="AJ62" s="35">
        <v>46244</v>
      </c>
      <c r="AK62" s="1">
        <v>203.5</v>
      </c>
      <c r="AL62" s="1">
        <v>5</v>
      </c>
      <c r="AM62" s="1">
        <v>5</v>
      </c>
      <c r="AN62" s="52">
        <v>1</v>
      </c>
      <c r="AO62" s="52">
        <v>1</v>
      </c>
    </row>
    <row r="63" spans="1:41" s="14" customFormat="1" ht="36.75" customHeight="1" x14ac:dyDescent="0.3">
      <c r="A63" s="12">
        <f t="shared" ref="A63:A65" si="35">O63</f>
        <v>46143</v>
      </c>
      <c r="B63" s="50">
        <f t="shared" si="29"/>
        <v>46154</v>
      </c>
      <c r="C63" s="12" t="str">
        <f t="shared" si="30"/>
        <v>Sunrise Agro Foods</v>
      </c>
      <c r="D63" s="12" t="str">
        <f t="shared" si="31"/>
        <v>Rice Bran</v>
      </c>
      <c r="E63" s="33">
        <v>22</v>
      </c>
      <c r="F63" s="50">
        <f t="shared" si="32"/>
        <v>46159</v>
      </c>
      <c r="G63" s="12" t="str">
        <f t="shared" si="33"/>
        <v>SAI/027</v>
      </c>
      <c r="H63" s="50">
        <f t="shared" si="34"/>
        <v>46160</v>
      </c>
      <c r="I63" s="33">
        <v>20</v>
      </c>
      <c r="J63" s="28">
        <f t="shared" si="8"/>
        <v>5</v>
      </c>
      <c r="K63" s="32">
        <f t="shared" si="9"/>
        <v>6</v>
      </c>
      <c r="L63" s="13">
        <f t="shared" si="10"/>
        <v>0.83333333333333337</v>
      </c>
      <c r="M63" s="13">
        <f>I63/E63</f>
        <v>0.90909090909090906</v>
      </c>
      <c r="O63" s="51">
        <v>46143</v>
      </c>
      <c r="P63" s="35">
        <v>46154</v>
      </c>
      <c r="Q63" s="1" t="s">
        <v>72</v>
      </c>
      <c r="R63" s="1" t="s">
        <v>73</v>
      </c>
      <c r="S63" s="1">
        <v>15.3</v>
      </c>
      <c r="T63" s="35">
        <v>46159</v>
      </c>
      <c r="U63" s="1" t="s">
        <v>74</v>
      </c>
      <c r="V63" s="35">
        <v>46160</v>
      </c>
      <c r="W63" s="1">
        <v>15.3</v>
      </c>
      <c r="X63" s="1">
        <v>5</v>
      </c>
      <c r="Y63" s="1">
        <v>5</v>
      </c>
      <c r="Z63" s="52">
        <v>1</v>
      </c>
      <c r="AA63" s="52">
        <v>1</v>
      </c>
      <c r="AC63" s="51">
        <v>46235</v>
      </c>
      <c r="AD63" s="35">
        <v>46246</v>
      </c>
      <c r="AE63" s="1" t="s">
        <v>72</v>
      </c>
      <c r="AF63" s="1" t="s">
        <v>73</v>
      </c>
      <c r="AG63" s="1">
        <v>15.3</v>
      </c>
      <c r="AH63" s="35">
        <v>46251</v>
      </c>
      <c r="AI63" s="1" t="s">
        <v>88</v>
      </c>
      <c r="AJ63" s="35">
        <v>46251</v>
      </c>
      <c r="AK63" s="1">
        <v>15.3</v>
      </c>
      <c r="AL63" s="1">
        <v>5</v>
      </c>
      <c r="AM63" s="1">
        <v>5</v>
      </c>
      <c r="AN63" s="52">
        <v>1</v>
      </c>
      <c r="AO63" s="52">
        <v>1</v>
      </c>
    </row>
    <row r="64" spans="1:41" s="14" customFormat="1" ht="48" customHeight="1" x14ac:dyDescent="0.3">
      <c r="A64" s="12">
        <f t="shared" si="35"/>
        <v>46143</v>
      </c>
      <c r="B64" s="50">
        <f t="shared" si="29"/>
        <v>46161</v>
      </c>
      <c r="C64" s="12" t="str">
        <f t="shared" si="30"/>
        <v>Mahadev Rice &amp; Gen Mill</v>
      </c>
      <c r="D64" s="12" t="str">
        <f t="shared" si="31"/>
        <v>Rice Bran</v>
      </c>
      <c r="E64" s="33">
        <v>95</v>
      </c>
      <c r="F64" s="50">
        <f t="shared" si="32"/>
        <v>46166</v>
      </c>
      <c r="G64" s="12" t="str">
        <f t="shared" si="33"/>
        <v>SAI/028</v>
      </c>
      <c r="H64" s="50">
        <f t="shared" si="34"/>
        <v>46166</v>
      </c>
      <c r="I64" s="33">
        <v>80</v>
      </c>
      <c r="J64" s="28">
        <f t="shared" si="8"/>
        <v>5</v>
      </c>
      <c r="K64" s="32">
        <f t="shared" si="9"/>
        <v>5</v>
      </c>
      <c r="L64" s="13">
        <f t="shared" si="10"/>
        <v>1</v>
      </c>
      <c r="M64" s="13">
        <f t="shared" ref="M64:M65" si="36">I64/E64</f>
        <v>0.84210526315789469</v>
      </c>
      <c r="O64" s="51">
        <v>46143</v>
      </c>
      <c r="P64" s="35">
        <v>46161</v>
      </c>
      <c r="Q64" s="1" t="s">
        <v>75</v>
      </c>
      <c r="R64" s="1" t="s">
        <v>73</v>
      </c>
      <c r="S64" s="1">
        <v>15.5</v>
      </c>
      <c r="T64" s="35">
        <v>46166</v>
      </c>
      <c r="U64" s="1" t="s">
        <v>76</v>
      </c>
      <c r="V64" s="35">
        <v>46166</v>
      </c>
      <c r="W64" s="1">
        <v>15.5</v>
      </c>
      <c r="X64" s="1">
        <v>5</v>
      </c>
      <c r="Y64" s="1">
        <v>5</v>
      </c>
      <c r="Z64" s="52">
        <v>1</v>
      </c>
      <c r="AA64" s="52">
        <v>1</v>
      </c>
      <c r="AC64" s="51">
        <v>46235</v>
      </c>
      <c r="AD64" s="35">
        <v>46253</v>
      </c>
      <c r="AE64" s="1" t="s">
        <v>75</v>
      </c>
      <c r="AF64" s="1" t="s">
        <v>73</v>
      </c>
      <c r="AG64" s="1">
        <v>95.05</v>
      </c>
      <c r="AH64" s="35">
        <v>46258</v>
      </c>
      <c r="AI64" s="1" t="s">
        <v>89</v>
      </c>
      <c r="AJ64" s="35">
        <v>46258</v>
      </c>
      <c r="AK64" s="1">
        <v>95.05</v>
      </c>
      <c r="AL64" s="1">
        <v>5</v>
      </c>
      <c r="AM64" s="1">
        <v>5</v>
      </c>
      <c r="AN64" s="52">
        <v>1</v>
      </c>
      <c r="AO64" s="52">
        <v>1</v>
      </c>
    </row>
    <row r="65" spans="1:41" s="14" customFormat="1" ht="55.2" customHeight="1" x14ac:dyDescent="0.3">
      <c r="A65" s="12">
        <f t="shared" si="35"/>
        <v>46143</v>
      </c>
      <c r="B65" s="50">
        <f t="shared" si="29"/>
        <v>46167</v>
      </c>
      <c r="C65" s="12" t="str">
        <f t="shared" si="30"/>
        <v>Shri Ganesh Feeds</v>
      </c>
      <c r="D65" s="12" t="str">
        <f t="shared" si="31"/>
        <v>Paddy Husk</v>
      </c>
      <c r="E65" s="33">
        <v>250</v>
      </c>
      <c r="F65" s="50">
        <f t="shared" si="32"/>
        <v>46172</v>
      </c>
      <c r="G65" s="12" t="str">
        <f t="shared" si="33"/>
        <v>SAI/029</v>
      </c>
      <c r="H65" s="50">
        <f t="shared" si="34"/>
        <v>46172</v>
      </c>
      <c r="I65" s="33">
        <v>230</v>
      </c>
      <c r="J65" s="28">
        <f t="shared" si="8"/>
        <v>5</v>
      </c>
      <c r="K65" s="32">
        <f t="shared" si="9"/>
        <v>5</v>
      </c>
      <c r="L65" s="13">
        <f t="shared" si="10"/>
        <v>1</v>
      </c>
      <c r="M65" s="13">
        <f t="shared" si="36"/>
        <v>0.92</v>
      </c>
      <c r="O65" s="51">
        <v>46143</v>
      </c>
      <c r="P65" s="35">
        <v>46167</v>
      </c>
      <c r="Q65" s="1" t="s">
        <v>77</v>
      </c>
      <c r="R65" s="1" t="s">
        <v>70</v>
      </c>
      <c r="S65" s="1">
        <v>203.5</v>
      </c>
      <c r="T65" s="35">
        <v>46172</v>
      </c>
      <c r="U65" s="1" t="s">
        <v>78</v>
      </c>
      <c r="V65" s="35">
        <v>46172</v>
      </c>
      <c r="W65" s="1">
        <v>203.5</v>
      </c>
      <c r="X65" s="1">
        <v>5</v>
      </c>
      <c r="Y65" s="1">
        <v>5</v>
      </c>
      <c r="Z65" s="52">
        <v>1</v>
      </c>
      <c r="AA65" s="52">
        <v>1</v>
      </c>
      <c r="AC65" s="51">
        <v>46235</v>
      </c>
      <c r="AD65" s="35">
        <v>46260</v>
      </c>
      <c r="AE65" s="1" t="s">
        <v>77</v>
      </c>
      <c r="AF65" s="1" t="s">
        <v>70</v>
      </c>
      <c r="AG65" s="1">
        <v>157</v>
      </c>
      <c r="AH65" s="35">
        <v>46265</v>
      </c>
      <c r="AI65" s="1" t="s">
        <v>90</v>
      </c>
      <c r="AJ65" s="35">
        <v>46266</v>
      </c>
      <c r="AK65" s="1">
        <v>157</v>
      </c>
      <c r="AL65" s="1">
        <v>5</v>
      </c>
      <c r="AM65" s="1">
        <v>5</v>
      </c>
      <c r="AN65" s="52">
        <v>1</v>
      </c>
      <c r="AO65" s="52">
        <v>1</v>
      </c>
    </row>
    <row r="66" spans="1:41" s="14" customFormat="1" ht="25.95" customHeight="1" x14ac:dyDescent="0.55000000000000004">
      <c r="A66" s="84">
        <f>A65</f>
        <v>46143</v>
      </c>
      <c r="B66" s="84"/>
      <c r="C66" s="84"/>
      <c r="D66" s="84"/>
      <c r="E66" s="84"/>
      <c r="F66" s="32"/>
      <c r="G66" s="32"/>
      <c r="H66" s="32"/>
      <c r="I66" s="32"/>
      <c r="J66" s="15"/>
      <c r="K66" s="15"/>
      <c r="L66" s="29">
        <f>AVERAGE(L62:L65)</f>
        <v>0.91666666666666674</v>
      </c>
      <c r="M66" s="29">
        <f>AVERAGE(M62:M65)</f>
        <v>0.90113237639553423</v>
      </c>
      <c r="O66" s="37">
        <v>46113</v>
      </c>
      <c r="P66" s="1"/>
      <c r="Q66" s="1"/>
      <c r="R66" s="2" t="s">
        <v>57</v>
      </c>
      <c r="S66" s="34"/>
      <c r="T66" s="1"/>
      <c r="U66"/>
      <c r="V66" s="1"/>
      <c r="W66" s="34"/>
      <c r="X66" s="34"/>
      <c r="Y66" s="34"/>
      <c r="Z66" s="41">
        <v>0.95499999999999996</v>
      </c>
      <c r="AA66" s="41">
        <v>0.96199999999999997</v>
      </c>
      <c r="AC66" s="37">
        <v>46113</v>
      </c>
      <c r="AD66" s="1"/>
      <c r="AE66" s="1"/>
      <c r="AF66" s="2" t="s">
        <v>57</v>
      </c>
      <c r="AG66" s="34"/>
      <c r="AH66" s="1"/>
      <c r="AI66"/>
      <c r="AJ66" s="1"/>
      <c r="AK66" s="34"/>
      <c r="AL66" s="34"/>
      <c r="AM66" s="34"/>
      <c r="AN66" s="41">
        <v>0.95499999999999996</v>
      </c>
      <c r="AO66" s="41">
        <v>0.96199999999999997</v>
      </c>
    </row>
    <row r="67" spans="1:41" ht="21" x14ac:dyDescent="0.3">
      <c r="A67" s="82" t="s">
        <v>18</v>
      </c>
      <c r="B67" s="82"/>
      <c r="C67" s="82"/>
      <c r="D67" s="82"/>
      <c r="E67" s="82"/>
      <c r="F67" s="82"/>
      <c r="G67" s="82"/>
      <c r="H67" s="82"/>
      <c r="I67" s="82"/>
      <c r="J67" s="82"/>
      <c r="K67" s="82"/>
      <c r="L67" s="82"/>
      <c r="M67" s="82"/>
    </row>
    <row r="68" spans="1:41" ht="22.5" customHeight="1" x14ac:dyDescent="0.3">
      <c r="A68" s="82"/>
      <c r="B68" s="82"/>
      <c r="C68" s="82"/>
      <c r="D68" s="82"/>
      <c r="E68" s="82"/>
      <c r="F68" s="82"/>
      <c r="G68" s="82"/>
      <c r="H68" s="82"/>
      <c r="I68" s="82"/>
      <c r="J68" s="82"/>
      <c r="K68" s="82"/>
      <c r="L68" s="82"/>
      <c r="M68" s="82"/>
    </row>
    <row r="69" spans="1:41" ht="21" x14ac:dyDescent="0.3">
      <c r="A69" s="82" t="s">
        <v>19</v>
      </c>
      <c r="B69" s="82"/>
      <c r="C69" s="82"/>
      <c r="D69" s="82"/>
      <c r="E69" s="94" t="s">
        <v>20</v>
      </c>
      <c r="F69" s="95"/>
      <c r="G69" s="95"/>
      <c r="H69" s="95"/>
      <c r="I69" s="96"/>
      <c r="J69" s="82" t="s">
        <v>21</v>
      </c>
      <c r="K69" s="82"/>
      <c r="L69" s="82"/>
      <c r="M69" s="82"/>
    </row>
  </sheetData>
  <mergeCells count="24">
    <mergeCell ref="A67:M67"/>
    <mergeCell ref="A68:M68"/>
    <mergeCell ref="A69:D69"/>
    <mergeCell ref="E69:I69"/>
    <mergeCell ref="J69:M69"/>
    <mergeCell ref="A66:E66"/>
    <mergeCell ref="A7:M42"/>
    <mergeCell ref="A43:B44"/>
    <mergeCell ref="C43:J43"/>
    <mergeCell ref="K43:M43"/>
    <mergeCell ref="C44:J44"/>
    <mergeCell ref="K44:M44"/>
    <mergeCell ref="A45:J45"/>
    <mergeCell ref="K45:M45"/>
    <mergeCell ref="A56:E56"/>
    <mergeCell ref="A61:E61"/>
    <mergeCell ref="A51:E51"/>
    <mergeCell ref="A3:J3"/>
    <mergeCell ref="K3:M3"/>
    <mergeCell ref="A1:B2"/>
    <mergeCell ref="C1:J1"/>
    <mergeCell ref="K1:M1"/>
    <mergeCell ref="C2:J2"/>
    <mergeCell ref="K2:M2"/>
  </mergeCells>
  <printOptions horizontalCentered="1"/>
  <pageMargins left="0.19685039370078741" right="0.19685039370078741" top="0.15748031496062992" bottom="0.15748031496062992" header="0.31496062992125984" footer="0.23622047244094491"/>
  <pageSetup paperSize="9" scale="75" fitToHeight="4" orientation="landscape" r:id="rId1"/>
  <headerFooter>
    <oddFooter>Page &amp;P of &amp;N</oddFooter>
  </headerFooter>
  <rowBreaks count="1" manualBreakCount="1">
    <brk id="42" max="1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
  <sheetViews>
    <sheetView workbookViewId="0">
      <selection activeCell="N3" sqref="N3:Q3"/>
    </sheetView>
  </sheetViews>
  <sheetFormatPr defaultRowHeight="14.4" x14ac:dyDescent="0.3"/>
  <cols>
    <col min="1" max="1" width="5.6640625" style="26" customWidth="1"/>
    <col min="2" max="2" width="21" style="26" customWidth="1"/>
    <col min="3" max="3" width="6.6640625" style="26" customWidth="1"/>
    <col min="4" max="4" width="7.6640625" customWidth="1"/>
    <col min="5" max="5" width="7.33203125" customWidth="1"/>
    <col min="6" max="17" width="6.6640625" customWidth="1"/>
  </cols>
  <sheetData>
    <row r="1" spans="1:19" ht="25.2" customHeight="1" x14ac:dyDescent="0.6">
      <c r="A1" s="114" t="str">
        <f>'28-MTD'!A1</f>
        <v>SARI</v>
      </c>
      <c r="B1" s="115"/>
      <c r="C1" s="118" t="str">
        <f>'28-MTD'!C1</f>
        <v>M/S SAI AGRO RICE INDUSTRIES</v>
      </c>
      <c r="D1" s="118"/>
      <c r="E1" s="118"/>
      <c r="F1" s="118"/>
      <c r="G1" s="118"/>
      <c r="H1" s="118"/>
      <c r="I1" s="118"/>
      <c r="J1" s="118"/>
      <c r="K1" s="118"/>
      <c r="L1" s="118"/>
      <c r="M1" s="118"/>
      <c r="N1" s="119" t="s">
        <v>39</v>
      </c>
      <c r="O1" s="119"/>
      <c r="P1" s="119"/>
      <c r="Q1" s="120"/>
    </row>
    <row r="2" spans="1:19" s="14" customFormat="1" ht="32.25" customHeight="1" x14ac:dyDescent="0.3">
      <c r="A2" s="116"/>
      <c r="B2" s="117"/>
      <c r="C2" s="121" t="str">
        <f>'28-MTD'!C2</f>
        <v>SHERPURA ROAD , SHERPUR KALAN, JAGROAN , LUDHIANA-142026</v>
      </c>
      <c r="D2" s="121"/>
      <c r="E2" s="121"/>
      <c r="F2" s="121"/>
      <c r="G2" s="121"/>
      <c r="H2" s="121"/>
      <c r="I2" s="121"/>
      <c r="J2" s="121"/>
      <c r="K2" s="121"/>
      <c r="L2" s="121"/>
      <c r="M2" s="121"/>
      <c r="N2" s="112" t="s">
        <v>61</v>
      </c>
      <c r="O2" s="112"/>
      <c r="P2" s="112"/>
      <c r="Q2" s="113"/>
    </row>
    <row r="3" spans="1:19" ht="23.4" x14ac:dyDescent="0.3">
      <c r="A3" s="109" t="s">
        <v>40</v>
      </c>
      <c r="B3" s="110"/>
      <c r="C3" s="110"/>
      <c r="D3" s="110"/>
      <c r="E3" s="110"/>
      <c r="F3" s="110"/>
      <c r="G3" s="110"/>
      <c r="H3" s="110"/>
      <c r="I3" s="110"/>
      <c r="J3" s="110"/>
      <c r="K3" s="110"/>
      <c r="L3" s="110"/>
      <c r="M3" s="110"/>
      <c r="N3" s="111" t="str">
        <f>'28-MTD'!G3</f>
        <v>DOC ISSUE DATE - 03-12-2025</v>
      </c>
      <c r="O3" s="112"/>
      <c r="P3" s="112"/>
      <c r="Q3" s="113"/>
    </row>
    <row r="4" spans="1:19" s="14" customFormat="1" ht="33.6" customHeight="1" x14ac:dyDescent="0.3">
      <c r="A4" s="107" t="s">
        <v>41</v>
      </c>
      <c r="B4" s="103" t="s">
        <v>42</v>
      </c>
      <c r="C4" s="19" t="s">
        <v>43</v>
      </c>
      <c r="D4" s="108" t="s">
        <v>54</v>
      </c>
      <c r="E4" s="108" t="s">
        <v>53</v>
      </c>
      <c r="F4" s="103" t="s">
        <v>52</v>
      </c>
      <c r="G4" s="103"/>
      <c r="H4" s="103" t="s">
        <v>55</v>
      </c>
      <c r="I4" s="103"/>
      <c r="J4" s="103" t="s">
        <v>58</v>
      </c>
      <c r="K4" s="104"/>
      <c r="L4" s="103" t="s">
        <v>56</v>
      </c>
      <c r="M4" s="103"/>
      <c r="N4" s="103" t="s">
        <v>59</v>
      </c>
      <c r="O4" s="103"/>
      <c r="P4" s="103" t="s">
        <v>60</v>
      </c>
      <c r="Q4" s="105"/>
    </row>
    <row r="5" spans="1:19" x14ac:dyDescent="0.3">
      <c r="A5" s="107"/>
      <c r="B5" s="103"/>
      <c r="C5" s="20" t="s">
        <v>44</v>
      </c>
      <c r="D5" s="108"/>
      <c r="E5" s="108"/>
      <c r="F5" s="20" t="s">
        <v>45</v>
      </c>
      <c r="G5" s="20" t="s">
        <v>46</v>
      </c>
      <c r="H5" s="20" t="s">
        <v>45</v>
      </c>
      <c r="I5" s="20" t="s">
        <v>46</v>
      </c>
      <c r="J5" s="20" t="s">
        <v>45</v>
      </c>
      <c r="K5" s="20" t="s">
        <v>46</v>
      </c>
      <c r="L5" s="20" t="s">
        <v>45</v>
      </c>
      <c r="M5" s="20" t="s">
        <v>46</v>
      </c>
      <c r="N5" s="20" t="s">
        <v>45</v>
      </c>
      <c r="O5" s="20" t="s">
        <v>46</v>
      </c>
      <c r="P5" s="20" t="s">
        <v>45</v>
      </c>
      <c r="Q5" s="21" t="s">
        <v>46</v>
      </c>
      <c r="S5" s="14"/>
    </row>
    <row r="6" spans="1:19" s="14" customFormat="1" ht="39" customHeight="1" x14ac:dyDescent="0.3">
      <c r="A6" s="22">
        <v>1</v>
      </c>
      <c r="B6" s="36" t="str">
        <f>'29,30 - OTIF'!C52</f>
        <v>P.S Agro Foods</v>
      </c>
      <c r="C6" s="23" t="s">
        <v>44</v>
      </c>
      <c r="D6" s="10">
        <v>100</v>
      </c>
      <c r="E6" s="30">
        <f ca="1">(G6+I6+K6+M6+O6)/4</f>
        <v>90.75</v>
      </c>
      <c r="F6" s="10">
        <f ca="1">RANDBETWEEN(85,90)</f>
        <v>89</v>
      </c>
      <c r="G6" s="10">
        <f t="shared" ref="G6" ca="1" si="0">F6-RANDBETWEEN(1,3)</f>
        <v>87</v>
      </c>
      <c r="H6" s="10">
        <f ca="1">RANDBETWEEN(89,92)</f>
        <v>90</v>
      </c>
      <c r="I6" s="10">
        <f t="shared" ref="I6" ca="1" si="1">H6-RANDBETWEEN(1,3)</f>
        <v>88</v>
      </c>
      <c r="J6" s="10">
        <f ca="1">RANDBETWEEN(92,94)</f>
        <v>92</v>
      </c>
      <c r="K6" s="10">
        <f t="shared" ref="K6" ca="1" si="2">J6-RANDBETWEEN(1,3)</f>
        <v>90</v>
      </c>
      <c r="L6" s="10">
        <f ca="1">RANDBETWEEN(97,99)</f>
        <v>99</v>
      </c>
      <c r="M6" s="10">
        <f t="shared" ref="M6" ca="1" si="3">L6-RANDBETWEEN(1,3)</f>
        <v>98</v>
      </c>
      <c r="N6" s="10"/>
      <c r="O6" s="10"/>
      <c r="P6" s="10"/>
      <c r="Q6" s="24"/>
    </row>
    <row r="7" spans="1:19" s="14" customFormat="1" ht="32.25" customHeight="1" x14ac:dyDescent="0.3">
      <c r="A7" s="22">
        <v>2</v>
      </c>
      <c r="B7" s="36" t="str">
        <f>'29,30 - OTIF'!C53</f>
        <v>Mahadev Rice &amp; Gen Mill</v>
      </c>
      <c r="C7" s="23" t="s">
        <v>44</v>
      </c>
      <c r="D7" s="10">
        <v>100</v>
      </c>
      <c r="E7" s="30">
        <f ca="1">(G7+I7+K7+M7+O7)/4</f>
        <v>92.25</v>
      </c>
      <c r="F7" s="10">
        <f ca="1">RANDBETWEEN(90,92)</f>
        <v>92</v>
      </c>
      <c r="G7" s="10">
        <f t="shared" ref="G7:G9" ca="1" si="4">F7-RANDBETWEEN(1,3)</f>
        <v>91</v>
      </c>
      <c r="H7" s="10">
        <f ca="1">RANDBETWEEN(92,94)</f>
        <v>92</v>
      </c>
      <c r="I7" s="10">
        <f t="shared" ref="I7:I9" ca="1" si="5">H7-RANDBETWEEN(1,3)</f>
        <v>91</v>
      </c>
      <c r="J7" s="10">
        <f ca="1">RANDBETWEEN(94,96)</f>
        <v>94</v>
      </c>
      <c r="K7" s="10">
        <f t="shared" ref="K7:K9" ca="1" si="6">J7-RANDBETWEEN(1,3)</f>
        <v>92</v>
      </c>
      <c r="L7" s="10">
        <f ca="1">RANDBETWEEN(96,98)</f>
        <v>97</v>
      </c>
      <c r="M7" s="10">
        <f t="shared" ref="M7:M9" ca="1" si="7">L7-RANDBETWEEN(1,3)</f>
        <v>95</v>
      </c>
      <c r="N7" s="10"/>
      <c r="O7" s="10"/>
      <c r="P7" s="10"/>
      <c r="Q7" s="24"/>
    </row>
    <row r="8" spans="1:19" s="14" customFormat="1" ht="43.95" customHeight="1" x14ac:dyDescent="0.3">
      <c r="A8" s="22">
        <v>3</v>
      </c>
      <c r="B8" s="36" t="str">
        <f>'29,30 - OTIF'!C54</f>
        <v>Sunrise Agro Foods</v>
      </c>
      <c r="C8" s="23" t="s">
        <v>44</v>
      </c>
      <c r="D8" s="10">
        <v>100</v>
      </c>
      <c r="E8" s="30">
        <f ca="1">(G8+I8+K8+M8+O8)/4</f>
        <v>92</v>
      </c>
      <c r="F8" s="10">
        <f ca="1">RANDBETWEEN(90,92)</f>
        <v>92</v>
      </c>
      <c r="G8" s="10">
        <f t="shared" ca="1" si="4"/>
        <v>91</v>
      </c>
      <c r="H8" s="10">
        <f ca="1">RANDBETWEEN(92,94)</f>
        <v>93</v>
      </c>
      <c r="I8" s="10">
        <f t="shared" ca="1" si="5"/>
        <v>92</v>
      </c>
      <c r="J8" s="10">
        <f ca="1">RANDBETWEEN(94,96)</f>
        <v>94</v>
      </c>
      <c r="K8" s="10">
        <f t="shared" ca="1" si="6"/>
        <v>91</v>
      </c>
      <c r="L8" s="10">
        <f ca="1">RANDBETWEEN(96,98)</f>
        <v>97</v>
      </c>
      <c r="M8" s="10">
        <f t="shared" ca="1" si="7"/>
        <v>94</v>
      </c>
      <c r="N8" s="10"/>
      <c r="O8" s="10"/>
      <c r="P8" s="10"/>
      <c r="Q8" s="24"/>
    </row>
    <row r="9" spans="1:19" s="14" customFormat="1" ht="28.2" customHeight="1" x14ac:dyDescent="0.3">
      <c r="A9" s="22">
        <v>4</v>
      </c>
      <c r="B9" s="56" t="str">
        <f>'29,30 - OTIF'!Q48</f>
        <v>Sunrise Agro Foods</v>
      </c>
      <c r="C9" s="23" t="s">
        <v>44</v>
      </c>
      <c r="D9" s="55">
        <v>100</v>
      </c>
      <c r="E9" s="30">
        <f ca="1">(G9+I9+K9+M9+O9)/4</f>
        <v>93</v>
      </c>
      <c r="F9" s="55">
        <f ca="1">RANDBETWEEN(90,92)</f>
        <v>92</v>
      </c>
      <c r="G9" s="55">
        <f t="shared" ca="1" si="4"/>
        <v>91</v>
      </c>
      <c r="H9" s="55">
        <f ca="1">RANDBETWEEN(92,94)</f>
        <v>92</v>
      </c>
      <c r="I9" s="55">
        <f t="shared" ca="1" si="5"/>
        <v>90</v>
      </c>
      <c r="J9" s="55">
        <f ca="1">RANDBETWEEN(94,96)</f>
        <v>96</v>
      </c>
      <c r="K9" s="55">
        <f t="shared" ca="1" si="6"/>
        <v>95</v>
      </c>
      <c r="L9" s="55">
        <f ca="1">RANDBETWEEN(96,98)</f>
        <v>98</v>
      </c>
      <c r="M9" s="55">
        <f t="shared" ca="1" si="7"/>
        <v>96</v>
      </c>
      <c r="N9" s="10"/>
      <c r="O9" s="10"/>
      <c r="P9" s="10"/>
      <c r="Q9" s="24"/>
    </row>
    <row r="10" spans="1:19" s="14" customFormat="1" ht="28.2" customHeight="1" x14ac:dyDescent="0.3">
      <c r="A10" s="22"/>
      <c r="B10" s="31"/>
      <c r="C10" s="23"/>
      <c r="D10" s="10"/>
      <c r="E10" s="30"/>
      <c r="F10" s="10"/>
      <c r="G10" s="10"/>
      <c r="H10" s="10"/>
      <c r="I10" s="10"/>
      <c r="J10" s="10"/>
      <c r="K10" s="10"/>
      <c r="L10" s="10"/>
      <c r="M10" s="10"/>
      <c r="N10" s="10"/>
      <c r="O10" s="10"/>
      <c r="P10" s="10"/>
      <c r="Q10" s="24"/>
    </row>
    <row r="11" spans="1:19" s="14" customFormat="1" ht="28.2" customHeight="1" x14ac:dyDescent="0.3">
      <c r="A11" s="106" t="s">
        <v>47</v>
      </c>
      <c r="B11" s="86"/>
      <c r="C11" s="86"/>
      <c r="D11" s="25">
        <f>+AVERAGE(D6:D10)</f>
        <v>100</v>
      </c>
      <c r="E11" s="30">
        <f t="shared" ref="E11:M11" ca="1" si="8">AVERAGE(E6:E10)</f>
        <v>92</v>
      </c>
      <c r="F11" s="30">
        <f t="shared" ca="1" si="8"/>
        <v>91.25</v>
      </c>
      <c r="G11" s="30">
        <f t="shared" ca="1" si="8"/>
        <v>90</v>
      </c>
      <c r="H11" s="30">
        <f t="shared" ca="1" si="8"/>
        <v>91.75</v>
      </c>
      <c r="I11" s="30">
        <f t="shared" ca="1" si="8"/>
        <v>90.25</v>
      </c>
      <c r="J11" s="30">
        <f t="shared" ca="1" si="8"/>
        <v>94</v>
      </c>
      <c r="K11" s="30">
        <f t="shared" ca="1" si="8"/>
        <v>92</v>
      </c>
      <c r="L11" s="30">
        <f t="shared" ca="1" si="8"/>
        <v>97.75</v>
      </c>
      <c r="M11" s="30">
        <f t="shared" ca="1" si="8"/>
        <v>95.75</v>
      </c>
      <c r="N11" s="30"/>
      <c r="O11" s="30"/>
      <c r="P11" s="30"/>
      <c r="Q11" s="30"/>
    </row>
    <row r="12" spans="1:19" s="1" customFormat="1" ht="15" customHeight="1" x14ac:dyDescent="0.3">
      <c r="A12" s="97" t="s">
        <v>18</v>
      </c>
      <c r="B12" s="98"/>
      <c r="C12" s="98"/>
      <c r="D12" s="98"/>
      <c r="E12" s="98"/>
      <c r="F12" s="98"/>
      <c r="G12" s="98"/>
      <c r="H12" s="98"/>
      <c r="I12" s="98"/>
      <c r="J12" s="98"/>
      <c r="K12" s="98"/>
      <c r="L12" s="98"/>
      <c r="M12" s="98"/>
      <c r="N12" s="98"/>
      <c r="O12" s="98"/>
      <c r="P12" s="98"/>
      <c r="Q12" s="99"/>
    </row>
    <row r="13" spans="1:19" s="1" customFormat="1" ht="42.75" customHeight="1" x14ac:dyDescent="0.3">
      <c r="A13" s="97"/>
      <c r="B13" s="98"/>
      <c r="C13" s="98"/>
      <c r="D13" s="98"/>
      <c r="E13" s="98"/>
      <c r="F13" s="98"/>
      <c r="G13" s="98"/>
      <c r="H13" s="98"/>
      <c r="I13" s="98"/>
      <c r="J13" s="98"/>
      <c r="K13" s="98"/>
      <c r="L13" s="98"/>
      <c r="M13" s="98"/>
      <c r="N13" s="98"/>
      <c r="O13" s="98"/>
      <c r="P13" s="98"/>
      <c r="Q13" s="99"/>
    </row>
    <row r="14" spans="1:19" s="1" customFormat="1" ht="14.7" customHeight="1" thickBot="1" x14ac:dyDescent="0.35">
      <c r="A14" s="100" t="s">
        <v>19</v>
      </c>
      <c r="B14" s="101"/>
      <c r="C14" s="101"/>
      <c r="D14" s="101"/>
      <c r="E14" s="101" t="s">
        <v>20</v>
      </c>
      <c r="F14" s="101"/>
      <c r="G14" s="101"/>
      <c r="H14" s="101"/>
      <c r="I14" s="101"/>
      <c r="J14" s="101" t="s">
        <v>21</v>
      </c>
      <c r="K14" s="101"/>
      <c r="L14" s="101"/>
      <c r="M14" s="101"/>
      <c r="N14" s="101"/>
      <c r="O14" s="101"/>
      <c r="P14" s="101"/>
      <c r="Q14" s="102"/>
    </row>
  </sheetData>
  <mergeCells count="23">
    <mergeCell ref="A3:M3"/>
    <mergeCell ref="N3:Q3"/>
    <mergeCell ref="A1:B2"/>
    <mergeCell ref="C1:M1"/>
    <mergeCell ref="N1:Q1"/>
    <mergeCell ref="C2:M2"/>
    <mergeCell ref="N2:Q2"/>
    <mergeCell ref="A13:Q13"/>
    <mergeCell ref="A14:D14"/>
    <mergeCell ref="E14:I14"/>
    <mergeCell ref="J14:Q14"/>
    <mergeCell ref="J4:K4"/>
    <mergeCell ref="L4:M4"/>
    <mergeCell ref="N4:O4"/>
    <mergeCell ref="P4:Q4"/>
    <mergeCell ref="A11:C11"/>
    <mergeCell ref="A12:Q12"/>
    <mergeCell ref="A4:A5"/>
    <mergeCell ref="B4:B5"/>
    <mergeCell ref="D4:D5"/>
    <mergeCell ref="E4:E5"/>
    <mergeCell ref="F4:G4"/>
    <mergeCell ref="H4:I4"/>
  </mergeCells>
  <printOptions horizontalCentered="1"/>
  <pageMargins left="0.31496062992125984" right="0.31496062992125984" top="0.35433070866141736" bottom="0.31496062992125984" header="0.31496062992125984" footer="0.31496062992125984"/>
  <pageSetup paperSize="9" scale="10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28-MTD</vt:lpstr>
      <vt:lpstr>29,30 - OTIF</vt:lpstr>
      <vt:lpstr>76-ZSC-OTIF</vt:lpstr>
      <vt:lpstr>'29,30 - OTIF'!Print_Area</vt:lpstr>
      <vt:lpstr>'76-ZSC-OTIF'!Print_Area</vt:lpstr>
      <vt:lpstr>'28-MTD'!Print_Titles</vt:lpstr>
      <vt:lpstr>'29,30 - OTIF'!Print_Titles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Sheena Bansal</dc:creator>
  <cp:lastModifiedBy>ASUS</cp:lastModifiedBy>
  <cp:lastPrinted>2026-09-29T08:29:21Z</cp:lastPrinted>
  <dcterms:created xsi:type="dcterms:W3CDTF">2026-02-19T09:43:40Z</dcterms:created>
  <dcterms:modified xsi:type="dcterms:W3CDTF">2026-09-29T08:29:23Z</dcterms:modified>
</cp:coreProperties>
</file>